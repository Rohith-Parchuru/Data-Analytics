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Excel - Data Analytis\"/>
    </mc:Choice>
  </mc:AlternateContent>
  <xr:revisionPtr revIDLastSave="0" documentId="8_{43C3D437-73A1-40EC-9DB4-8CC6BA1306E9}" xr6:coauthVersionLast="47" xr6:coauthVersionMax="47" xr10:uidLastSave="{00000000-0000-0000-0000-000000000000}"/>
  <bookViews>
    <workbookView xWindow="-120" yWindow="-120" windowWidth="29040" windowHeight="15720" xr2:uid="{D5850736-7039-44D4-9825-28F67AF5D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H32" i="1"/>
  <c r="H33" i="1"/>
  <c r="H34" i="1"/>
  <c r="H30" i="1"/>
  <c r="M32" i="1"/>
  <c r="M33" i="1"/>
  <c r="M34" i="1"/>
  <c r="M35" i="1"/>
  <c r="M31" i="1"/>
  <c r="P11" i="1" a="1"/>
  <c r="P11" i="1"/>
  <c r="P12" i="1" a="1"/>
  <c r="P12" i="1"/>
  <c r="P13" i="1" a="1"/>
  <c r="P13" i="1" s="1"/>
  <c r="P14" i="1" a="1"/>
  <c r="P14" i="1"/>
  <c r="P10" i="1" a="1"/>
  <c r="P10" i="1" s="1"/>
  <c r="R21" i="1"/>
  <c r="R22" i="1"/>
  <c r="R23" i="1"/>
  <c r="R24" i="1"/>
  <c r="R20" i="1"/>
  <c r="M21" i="1"/>
  <c r="M22" i="1"/>
  <c r="M23" i="1"/>
  <c r="M24" i="1"/>
  <c r="M20" i="1"/>
  <c r="H21" i="1"/>
  <c r="H22" i="1"/>
  <c r="H23" i="1"/>
  <c r="H24" i="1"/>
  <c r="H20" i="1"/>
  <c r="K9" i="1"/>
  <c r="L9" i="1" s="1"/>
  <c r="K10" i="1"/>
  <c r="L10" i="1" s="1"/>
  <c r="K11" i="1"/>
  <c r="L11" i="1" s="1"/>
  <c r="K12" i="1"/>
  <c r="L12" i="1" s="1"/>
  <c r="K13" i="1"/>
  <c r="L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<sst xmlns="http://schemas.openxmlformats.org/spreadsheetml/2006/main" count="35" uniqueCount="27">
  <si>
    <t>Name</t>
  </si>
  <si>
    <t>Math</t>
  </si>
  <si>
    <t>Science</t>
  </si>
  <si>
    <t>English</t>
  </si>
  <si>
    <t>Attendance%</t>
  </si>
  <si>
    <t>Rohith</t>
  </si>
  <si>
    <t>Priya</t>
  </si>
  <si>
    <t>Ravi</t>
  </si>
  <si>
    <t>Sneha</t>
  </si>
  <si>
    <t>Kiran</t>
  </si>
  <si>
    <t>Logical And Error Functions</t>
  </si>
  <si>
    <t>Total Marks</t>
  </si>
  <si>
    <t>Percentage</t>
  </si>
  <si>
    <t>Result</t>
  </si>
  <si>
    <t xml:space="preserve">If Condition </t>
  </si>
  <si>
    <t>If - Else Condition</t>
  </si>
  <si>
    <t>Attendance %</t>
  </si>
  <si>
    <t>Progress</t>
  </si>
  <si>
    <t>AND Condition</t>
  </si>
  <si>
    <t>OR Condition</t>
  </si>
  <si>
    <t>OR Operation</t>
  </si>
  <si>
    <t>percentage</t>
  </si>
  <si>
    <t>Content</t>
  </si>
  <si>
    <t>XOR</t>
  </si>
  <si>
    <t>XOR Condition</t>
  </si>
  <si>
    <t>fsfsgfsfsbjhdffjf</t>
  </si>
  <si>
    <t>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</si>
</sst>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48"/>
      <color theme="4" tint="0.39997558519241921"/>
      <name val="Calibri"/>
      <family val="2"/>
      <scheme val="minor"/>
    </font>
    <font>
      <sz val="11"/>
      <color theme="4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CC710D-3177-466C-8F09-EF70C288C794}" name="Table1" displayName="Table1" ref="F8:L13" totalsRowShown="0" headerRowDxfId="4" dataDxfId="5">
  <autoFilter ref="F8:L13" xr:uid="{0ACC710D-3177-466C-8F09-EF70C288C794}"/>
  <tableColumns count="7">
    <tableColumn id="1" xr3:uid="{12C8F1E3-D7BC-4305-879E-7A080767CA54}" name="Name" dataDxfId="10"/>
    <tableColumn id="2" xr3:uid="{78803426-39FF-4F20-AD39-890A3BC91C82}" name="Math" dataDxfId="9"/>
    <tableColumn id="3" xr3:uid="{22EEA8FE-05C5-446B-B712-1863A58B134A}" name="Science" dataDxfId="8"/>
    <tableColumn id="4" xr3:uid="{3A231021-4FB9-4DBF-94DC-A485232D217C}" name="English" dataDxfId="7"/>
    <tableColumn id="5" xr3:uid="{633639BC-49E3-4143-9623-A342FF6CF560}" name="Attendance%" dataDxfId="6"/>
    <tableColumn id="6" xr3:uid="{74BD0556-945B-4BAC-8171-9BE2DB5B93CF}" name="Total Marks" dataDxfId="3">
      <calculatedColumnFormula>SUM(Table1[[#This Row],[Math]:[English]])</calculatedColumnFormula>
    </tableColumn>
    <tableColumn id="7" xr3:uid="{C81BF3F8-EC02-400A-8A36-F1846605B6E0}" name="Percentage" dataDxfId="2">
      <calculatedColumnFormula>ROUND(Table1[[#This Row],[Total Marks]]/3,0)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99A643-4AEC-41A3-A41E-FBFF7F286789}" name="Table2" displayName="Table2" ref="G19:H24" totalsRowShown="0">
  <autoFilter ref="G19:H24" xr:uid="{4A99A643-4AEC-41A3-A41E-FBFF7F286789}"/>
  <tableColumns count="2">
    <tableColumn id="1" xr3:uid="{2C369E5E-B401-4944-9CD8-A72633D4B15F}" name="Percentage"/>
    <tableColumn id="2" xr3:uid="{A36CDC45-6C31-4E1E-9C13-AAB28C286B1B}" name="Result">
      <calculatedColumnFormula>IF(G20&gt;=38,"Pass","Fail")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7206F1-318E-4C04-9E95-C3EBF27AD570}" name="Table3" displayName="Table3" ref="K19:M24" totalsRowShown="0">
  <autoFilter ref="K19:M24" xr:uid="{0E7206F1-318E-4C04-9E95-C3EBF27AD570}"/>
  <tableColumns count="3">
    <tableColumn id="1" xr3:uid="{6A88AE61-B9B2-43BD-9629-55614EE88F75}" name="Attendance %"/>
    <tableColumn id="2" xr3:uid="{04C0CA16-7F93-428E-B4FA-91080AC1C3DF}" name="Percentage"/>
    <tableColumn id="3" xr3:uid="{471A4F40-514C-494A-9CE3-0851AAE1104E}" name="Progress">
      <calculatedColumnFormula>AND(K20&gt;=75,L20&gt;=60)</calculatedColumn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08550E-CD35-431E-A070-F9FEAE8A939A}" name="Table4" displayName="Table4" ref="P19:R24" totalsRowShown="0">
  <autoFilter ref="P19:R24" xr:uid="{7608550E-CD35-431E-A070-F9FEAE8A939A}"/>
  <tableColumns count="3">
    <tableColumn id="1" xr3:uid="{5752888A-8E54-4E3A-AFEC-5FCDADB764B2}" name="Total Marks"/>
    <tableColumn id="2" xr3:uid="{6DD10171-8163-4517-AAC5-D71FF8F8BCC6}" name="Attendance %"/>
    <tableColumn id="3" xr3:uid="{BB41DE12-673C-4D6B-A9ED-D00EA9B5D87C}" name="OR Operation">
      <calculatedColumnFormula>OR(P20&gt;=150,Q20&gt;=55)</calculatedColumnFormula>
    </tableColumn>
  </tableColumns>
  <tableStyleInfo name="TableStyleMedium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D462F3-6B3A-44C3-9792-72AD1FE4CDF5}" name="Table5" displayName="Table5" ref="O9:P14" totalsRowShown="0">
  <autoFilter ref="O9:P14" xr:uid="{52D462F3-6B3A-44C3-9792-72AD1FE4CDF5}"/>
  <tableColumns count="2">
    <tableColumn id="1" xr3:uid="{D4A6AC35-043B-49FE-BA89-2AAE9BBE9CB4}" name="percentage"/>
    <tableColumn id="2" xr3:uid="{A3263A45-9D57-4265-B003-F2AFFE7B26AE}" name="Content">
      <calculatedColumnFormula array="1">_xlfn.IFS(O10&gt;=38,"Promote to next class",O10&lt;=38,"Study same class for next year")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B8D8071-C18F-4403-9ABE-3C998B40F41B}" name="Table37" displayName="Table37" ref="K30:M35" totalsRowShown="0">
  <autoFilter ref="K30:M35" xr:uid="{8B8D8071-C18F-4403-9ABE-3C998B40F41B}"/>
  <tableColumns count="3">
    <tableColumn id="1" xr3:uid="{07E09780-9ADD-426D-A7F7-76E60450DC24}" name="Attendance %"/>
    <tableColumn id="2" xr3:uid="{D4DD2797-4091-4A4F-A466-7B3B0549A3CE}" name="Percentage"/>
    <tableColumn id="3" xr3:uid="{84C0BD55-1BDA-45F6-93C8-ACF1C141D6FE}" name="XOR" dataDxfId="1">
      <calculatedColumnFormula>_xlfn.XOR(K31&gt;=75,L31&gt;=60)</calculatedColumnFormula>
    </tableColumn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E96ED2-549C-460A-AB2F-0E50325B4635}" name="Table38" displayName="Table38" ref="F29:H34" totalsRowShown="0">
  <autoFilter ref="F29:H34" xr:uid="{47E96ED2-549C-460A-AB2F-0E50325B4635}"/>
  <tableColumns count="3">
    <tableColumn id="1" xr3:uid="{A6E165C5-2523-4139-A79F-6165296A971E}" name="Attendance %"/>
    <tableColumn id="2" xr3:uid="{63FFDC11-A097-4B94-81F4-694F087F1E2C}" name="Percentage"/>
    <tableColumn id="3" xr3:uid="{956156E8-5E2D-4E25-95C5-505FEE451AFB}" name="NOT" dataDxfId="0">
      <calculatedColumnFormula>NOT(F30&gt;=75)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4CCB-EE86-451B-AB3C-8C4B8925979B}">
  <dimension ref="C1:T35"/>
  <sheetViews>
    <sheetView tabSelected="1" workbookViewId="0">
      <selection activeCell="I31" sqref="I31"/>
    </sheetView>
  </sheetViews>
  <sheetFormatPr defaultRowHeight="15" x14ac:dyDescent="0.25"/>
  <cols>
    <col min="7" max="7" width="13.140625" customWidth="1"/>
    <col min="8" max="8" width="9.85546875" customWidth="1"/>
    <col min="9" max="9" width="9.42578125" customWidth="1"/>
    <col min="10" max="10" width="15" customWidth="1"/>
    <col min="11" max="11" width="15.85546875" bestFit="1" customWidth="1"/>
    <col min="12" max="12" width="13.42578125" bestFit="1" customWidth="1"/>
    <col min="13" max="13" width="10.7109375" customWidth="1"/>
    <col min="15" max="15" width="13.140625" customWidth="1"/>
    <col min="16" max="16" width="28" bestFit="1" customWidth="1"/>
    <col min="17" max="17" width="15.42578125" customWidth="1"/>
    <col min="18" max="18" width="15.140625" customWidth="1"/>
  </cols>
  <sheetData>
    <row r="1" spans="3:20" x14ac:dyDescent="0.25">
      <c r="F1" s="6" t="s">
        <v>10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3:20" x14ac:dyDescent="0.25"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3:20" x14ac:dyDescent="0.25"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3:20" x14ac:dyDescent="0.25"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8" spans="3:20" ht="15.75" x14ac:dyDescent="0.25">
      <c r="F8" s="1" t="s">
        <v>0</v>
      </c>
      <c r="G8" s="1" t="s">
        <v>1</v>
      </c>
      <c r="H8" s="1" t="s">
        <v>2</v>
      </c>
      <c r="I8" s="1" t="s">
        <v>3</v>
      </c>
      <c r="J8" s="1" t="s">
        <v>4</v>
      </c>
      <c r="K8" s="1" t="s">
        <v>11</v>
      </c>
      <c r="L8" s="1" t="s">
        <v>12</v>
      </c>
      <c r="O8" s="8" t="s">
        <v>15</v>
      </c>
      <c r="P8" s="3"/>
      <c r="Q8" s="3"/>
    </row>
    <row r="9" spans="3:20" ht="30" x14ac:dyDescent="0.25">
      <c r="C9" s="10" t="s">
        <v>25</v>
      </c>
      <c r="F9" s="2" t="s">
        <v>5</v>
      </c>
      <c r="G9" s="2">
        <v>85</v>
      </c>
      <c r="H9" s="2">
        <v>72</v>
      </c>
      <c r="I9" s="2">
        <v>90</v>
      </c>
      <c r="J9" s="2">
        <v>95</v>
      </c>
      <c r="K9" s="2">
        <f>SUM(Table1[[#This Row],[Math]:[English]])</f>
        <v>247</v>
      </c>
      <c r="L9" s="2">
        <f>ROUND(Table1[[#This Row],[Total Marks]]/3,0)</f>
        <v>82</v>
      </c>
      <c r="O9" t="s">
        <v>21</v>
      </c>
      <c r="P9" t="s">
        <v>22</v>
      </c>
    </row>
    <row r="10" spans="3:20" x14ac:dyDescent="0.25">
      <c r="F10" s="2" t="s">
        <v>6</v>
      </c>
      <c r="G10" s="2">
        <v>45</v>
      </c>
      <c r="H10" s="2">
        <v>60</v>
      </c>
      <c r="I10" s="2">
        <v>55</v>
      </c>
      <c r="J10" s="2">
        <v>80</v>
      </c>
      <c r="K10" s="2">
        <f>SUM(Table1[[#This Row],[Math]:[English]])</f>
        <v>160</v>
      </c>
      <c r="L10" s="2">
        <f>ROUND(Table1[[#This Row],[Total Marks]]/3,0)</f>
        <v>53</v>
      </c>
      <c r="O10">
        <v>82</v>
      </c>
      <c r="P10" t="str" cm="1">
        <f t="array" ref="P10">_xlfn.IFS(O10&gt;=38,"Promote to next class",O10&lt;=38,"Study same class for next year")</f>
        <v>Promote to next class</v>
      </c>
    </row>
    <row r="11" spans="3:20" x14ac:dyDescent="0.25">
      <c r="F11" s="2" t="s">
        <v>7</v>
      </c>
      <c r="G11" s="2">
        <v>75</v>
      </c>
      <c r="H11" s="2">
        <v>0</v>
      </c>
      <c r="I11" s="2">
        <v>68</v>
      </c>
      <c r="J11" s="2">
        <v>70</v>
      </c>
      <c r="K11" s="2">
        <f>SUM(Table1[[#This Row],[Math]:[English]])</f>
        <v>143</v>
      </c>
      <c r="L11" s="2">
        <f>ROUND(Table1[[#This Row],[Total Marks]]/3,0)</f>
        <v>48</v>
      </c>
      <c r="O11">
        <v>53</v>
      </c>
      <c r="P11" t="str" cm="1">
        <f t="array" ref="P11">_xlfn.IFS(O11&gt;=38,"Promote to next class",O11&lt;=38,"Study same class for next year")</f>
        <v>Promote to next class</v>
      </c>
    </row>
    <row r="12" spans="3:20" x14ac:dyDescent="0.25">
      <c r="F12" s="2" t="s">
        <v>8</v>
      </c>
      <c r="G12" s="2">
        <v>92</v>
      </c>
      <c r="H12" s="2">
        <v>88</v>
      </c>
      <c r="I12" s="2">
        <v>95</v>
      </c>
      <c r="J12" s="2">
        <v>98</v>
      </c>
      <c r="K12" s="2">
        <f>SUM(Table1[[#This Row],[Math]:[English]])</f>
        <v>275</v>
      </c>
      <c r="L12" s="2">
        <f>ROUND(Table1[[#This Row],[Total Marks]]/3,0)</f>
        <v>92</v>
      </c>
      <c r="O12">
        <v>48</v>
      </c>
      <c r="P12" t="str" cm="1">
        <f t="array" ref="P12">_xlfn.IFS(O12&gt;=38,"Promote to next class",O12&lt;=38,"Study same class for next year")</f>
        <v>Promote to next class</v>
      </c>
    </row>
    <row r="13" spans="3:20" x14ac:dyDescent="0.25">
      <c r="F13" s="2" t="s">
        <v>9</v>
      </c>
      <c r="G13" s="2">
        <v>30</v>
      </c>
      <c r="H13" s="2">
        <v>40</v>
      </c>
      <c r="I13" s="2">
        <v>35</v>
      </c>
      <c r="J13" s="2">
        <v>60</v>
      </c>
      <c r="K13" s="2">
        <f>SUM(Table1[[#This Row],[Math]:[English]])</f>
        <v>105</v>
      </c>
      <c r="L13" s="2">
        <f>ROUND(Table1[[#This Row],[Total Marks]]/3,0)</f>
        <v>35</v>
      </c>
      <c r="O13">
        <v>92</v>
      </c>
      <c r="P13" t="str" cm="1">
        <f t="array" ref="P13">_xlfn.IFS(O13&gt;=38,"Promote to next class",O13&lt;=38,"Study same class for next year")</f>
        <v>Promote to next class</v>
      </c>
    </row>
    <row r="14" spans="3:20" x14ac:dyDescent="0.25">
      <c r="O14">
        <v>35</v>
      </c>
      <c r="P14" t="str" cm="1">
        <f t="array" ref="P14">_xlfn.IFS(O14&gt;=38,"Promote to next class",O14&lt;=38,"Study same class for next year")</f>
        <v>Study same class for next year</v>
      </c>
    </row>
    <row r="16" spans="3:20" x14ac:dyDescent="0.25">
      <c r="G16" s="4" t="s">
        <v>14</v>
      </c>
      <c r="H16" s="3"/>
      <c r="I16" s="3"/>
      <c r="K16" s="5" t="s">
        <v>18</v>
      </c>
      <c r="L16" s="3"/>
      <c r="M16" s="3"/>
      <c r="P16" s="5" t="s">
        <v>19</v>
      </c>
      <c r="Q16" s="3"/>
      <c r="R16" s="3"/>
    </row>
    <row r="17" spans="6:18" x14ac:dyDescent="0.25">
      <c r="G17" s="3"/>
      <c r="H17" s="3"/>
      <c r="I17" s="3"/>
      <c r="K17" s="3"/>
      <c r="L17" s="3"/>
      <c r="M17" s="3"/>
      <c r="P17" s="3"/>
      <c r="Q17" s="3"/>
      <c r="R17" s="3"/>
    </row>
    <row r="19" spans="6:18" x14ac:dyDescent="0.25">
      <c r="G19" t="s">
        <v>12</v>
      </c>
      <c r="H19" t="s">
        <v>13</v>
      </c>
      <c r="K19" t="s">
        <v>16</v>
      </c>
      <c r="L19" t="s">
        <v>12</v>
      </c>
      <c r="M19" t="s">
        <v>17</v>
      </c>
      <c r="P19" t="s">
        <v>11</v>
      </c>
      <c r="Q19" t="s">
        <v>16</v>
      </c>
      <c r="R19" t="s">
        <v>20</v>
      </c>
    </row>
    <row r="20" spans="6:18" x14ac:dyDescent="0.25">
      <c r="G20">
        <v>82</v>
      </c>
      <c r="H20" t="str">
        <f>IF(G20&gt;=38,"Pass","Fail")</f>
        <v>Pass</v>
      </c>
      <c r="K20">
        <v>95</v>
      </c>
      <c r="L20">
        <v>82</v>
      </c>
      <c r="M20" t="b">
        <f>AND(K20&gt;=75,L20&gt;=60)</f>
        <v>1</v>
      </c>
      <c r="P20">
        <v>247</v>
      </c>
      <c r="Q20">
        <v>95</v>
      </c>
      <c r="R20" t="b">
        <f>OR(P20&gt;=150,Q20&gt;=55)</f>
        <v>1</v>
      </c>
    </row>
    <row r="21" spans="6:18" x14ac:dyDescent="0.25">
      <c r="G21">
        <v>53</v>
      </c>
      <c r="H21" t="str">
        <f t="shared" ref="H21:H24" si="0">IF(G21&gt;=38,"Pass","Fail")</f>
        <v>Pass</v>
      </c>
      <c r="K21">
        <v>80</v>
      </c>
      <c r="L21">
        <v>53</v>
      </c>
      <c r="M21" t="b">
        <f t="shared" ref="M21:M24" si="1">AND(K21&gt;=75,L21&gt;=60)</f>
        <v>0</v>
      </c>
      <c r="P21">
        <v>160</v>
      </c>
      <c r="Q21">
        <v>80</v>
      </c>
      <c r="R21" t="b">
        <f t="shared" ref="R21:R24" si="2">OR(P21&gt;=150,Q21&gt;=55)</f>
        <v>1</v>
      </c>
    </row>
    <row r="22" spans="6:18" x14ac:dyDescent="0.25">
      <c r="G22">
        <v>48</v>
      </c>
      <c r="H22" t="str">
        <f t="shared" si="0"/>
        <v>Pass</v>
      </c>
      <c r="K22">
        <v>70</v>
      </c>
      <c r="L22">
        <v>48</v>
      </c>
      <c r="M22" t="b">
        <f t="shared" si="1"/>
        <v>0</v>
      </c>
      <c r="P22">
        <v>143</v>
      </c>
      <c r="Q22">
        <v>70</v>
      </c>
      <c r="R22" t="b">
        <f t="shared" si="2"/>
        <v>1</v>
      </c>
    </row>
    <row r="23" spans="6:18" x14ac:dyDescent="0.25">
      <c r="G23">
        <v>92</v>
      </c>
      <c r="H23" t="str">
        <f t="shared" si="0"/>
        <v>Pass</v>
      </c>
      <c r="K23">
        <v>98</v>
      </c>
      <c r="L23">
        <v>92</v>
      </c>
      <c r="M23" t="b">
        <f t="shared" si="1"/>
        <v>1</v>
      </c>
      <c r="P23">
        <v>275</v>
      </c>
      <c r="Q23">
        <v>98</v>
      </c>
      <c r="R23" t="b">
        <f t="shared" si="2"/>
        <v>1</v>
      </c>
    </row>
    <row r="24" spans="6:18" x14ac:dyDescent="0.25">
      <c r="G24">
        <v>35</v>
      </c>
      <c r="H24" t="str">
        <f t="shared" si="0"/>
        <v>Fail</v>
      </c>
      <c r="K24">
        <v>60</v>
      </c>
      <c r="L24">
        <v>35</v>
      </c>
      <c r="M24" t="b">
        <f t="shared" si="1"/>
        <v>0</v>
      </c>
      <c r="P24">
        <v>105</v>
      </c>
      <c r="Q24">
        <v>60</v>
      </c>
      <c r="R24" t="b">
        <f t="shared" si="2"/>
        <v>1</v>
      </c>
    </row>
    <row r="27" spans="6:18" x14ac:dyDescent="0.25">
      <c r="K27" s="9" t="s">
        <v>24</v>
      </c>
      <c r="L27" s="3"/>
      <c r="M27" s="3"/>
    </row>
    <row r="28" spans="6:18" x14ac:dyDescent="0.25">
      <c r="K28" s="3"/>
      <c r="L28" s="3"/>
      <c r="M28" s="3"/>
    </row>
    <row r="29" spans="6:18" x14ac:dyDescent="0.25">
      <c r="F29" t="s">
        <v>16</v>
      </c>
      <c r="G29" t="s">
        <v>12</v>
      </c>
      <c r="H29" t="s">
        <v>26</v>
      </c>
    </row>
    <row r="30" spans="6:18" x14ac:dyDescent="0.25">
      <c r="F30">
        <v>95</v>
      </c>
      <c r="G30">
        <v>82</v>
      </c>
      <c r="H30" t="b">
        <f t="shared" ref="H30:H34" si="3">NOT(F30&gt;=75)</f>
        <v>0</v>
      </c>
      <c r="K30" t="s">
        <v>16</v>
      </c>
      <c r="L30" t="s">
        <v>12</v>
      </c>
      <c r="M30" t="s">
        <v>23</v>
      </c>
      <c r="P30" s="11"/>
    </row>
    <row r="31" spans="6:18" x14ac:dyDescent="0.25">
      <c r="F31">
        <v>80</v>
      </c>
      <c r="G31">
        <v>53</v>
      </c>
      <c r="H31" t="b">
        <f t="shared" si="3"/>
        <v>0</v>
      </c>
      <c r="K31">
        <v>95</v>
      </c>
      <c r="L31">
        <v>82</v>
      </c>
      <c r="M31" t="b">
        <f t="shared" ref="M31:M35" si="4">_xlfn.XOR(K31&gt;=75,L31&gt;=60)</f>
        <v>0</v>
      </c>
    </row>
    <row r="32" spans="6:18" x14ac:dyDescent="0.25">
      <c r="F32">
        <v>70</v>
      </c>
      <c r="G32">
        <v>48</v>
      </c>
      <c r="H32" t="b">
        <f t="shared" si="3"/>
        <v>1</v>
      </c>
      <c r="K32">
        <v>80</v>
      </c>
      <c r="L32">
        <v>53</v>
      </c>
      <c r="M32" t="b">
        <f t="shared" si="4"/>
        <v>1</v>
      </c>
    </row>
    <row r="33" spans="6:13" x14ac:dyDescent="0.25">
      <c r="F33">
        <v>98</v>
      </c>
      <c r="G33">
        <v>92</v>
      </c>
      <c r="H33" t="b">
        <f t="shared" si="3"/>
        <v>0</v>
      </c>
      <c r="K33">
        <v>70</v>
      </c>
      <c r="L33">
        <v>48</v>
      </c>
      <c r="M33" t="b">
        <f t="shared" si="4"/>
        <v>0</v>
      </c>
    </row>
    <row r="34" spans="6:13" x14ac:dyDescent="0.25">
      <c r="F34">
        <v>60</v>
      </c>
      <c r="G34">
        <v>35</v>
      </c>
      <c r="H34" t="b">
        <f t="shared" si="3"/>
        <v>1</v>
      </c>
      <c r="K34">
        <v>98</v>
      </c>
      <c r="L34">
        <v>92</v>
      </c>
      <c r="M34" t="b">
        <f t="shared" si="4"/>
        <v>0</v>
      </c>
    </row>
    <row r="35" spans="6:13" x14ac:dyDescent="0.25">
      <c r="K35">
        <v>60</v>
      </c>
      <c r="L35">
        <v>35</v>
      </c>
      <c r="M35" t="b">
        <f t="shared" si="4"/>
        <v>0</v>
      </c>
    </row>
  </sheetData>
  <mergeCells count="6">
    <mergeCell ref="K27:M28"/>
    <mergeCell ref="F1:T4"/>
    <mergeCell ref="G16:I17"/>
    <mergeCell ref="K16:M17"/>
    <mergeCell ref="P16:R17"/>
    <mergeCell ref="O8:Q8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PARCHURU</dc:creator>
  <cp:lastModifiedBy>ROHITH PARCHURU</cp:lastModifiedBy>
  <dcterms:created xsi:type="dcterms:W3CDTF">2026-06-02T06:30:35Z</dcterms:created>
  <dcterms:modified xsi:type="dcterms:W3CDTF">2026-06-02T07:02:10Z</dcterms:modified>
</cp:coreProperties>
</file>