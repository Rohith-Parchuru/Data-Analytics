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36e7c44bee1a0c25/Desktop/"/>
    </mc:Choice>
  </mc:AlternateContent>
  <xr:revisionPtr revIDLastSave="0" documentId="8_{A16AA40B-4287-4952-9C8B-0108F96B20FA}" xr6:coauthVersionLast="47" xr6:coauthVersionMax="47" xr10:uidLastSave="{00000000-0000-0000-0000-000000000000}"/>
  <bookViews>
    <workbookView xWindow="-120" yWindow="-120" windowWidth="20730" windowHeight="11310" tabRatio="500" activeTab="1" xr2:uid="{00000000-000D-0000-FFFF-FFFF00000000}"/>
  </bookViews>
  <sheets>
    <sheet name="Sheet1" sheetId="2" r:id="rId1"/>
    <sheet name="Sheet2" sheetId="3" r:id="rId2"/>
    <sheet name="Sales Data" sheetId="1" r:id="rId3"/>
  </sheets>
  <definedNames>
    <definedName name="_xlnm._FilterDatabase" localSheetId="2" hidden="1">'Sales Data'!$A$1:$P$501</definedName>
    <definedName name="Slicer_Category">#N/A</definedName>
    <definedName name="Slicer_Region">#N/A</definedName>
  </definedNames>
  <calcPr calcId="191029" iterateDelta="1E-4"/>
  <pivotCaches>
    <pivotCache cacheId="5" r:id="rId4"/>
    <pivotCache cacheId="2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501" i="1" l="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O416" i="1"/>
  <c r="N416" i="1"/>
  <c r="M416" i="1"/>
  <c r="N415" i="1"/>
  <c r="M415" i="1"/>
  <c r="O414" i="1"/>
  <c r="N414" i="1"/>
  <c r="M414" i="1"/>
  <c r="N413" i="1"/>
  <c r="M413" i="1"/>
  <c r="O412" i="1"/>
  <c r="N412" i="1"/>
  <c r="M412" i="1"/>
  <c r="N411" i="1"/>
  <c r="M411" i="1"/>
  <c r="O410" i="1"/>
  <c r="N410" i="1"/>
  <c r="M410" i="1"/>
  <c r="N409" i="1"/>
  <c r="M409" i="1"/>
  <c r="O408" i="1"/>
  <c r="N408" i="1"/>
  <c r="M408" i="1"/>
  <c r="N407" i="1"/>
  <c r="M407" i="1"/>
  <c r="O406" i="1"/>
  <c r="N406" i="1"/>
  <c r="M406" i="1"/>
  <c r="N405" i="1"/>
  <c r="M405" i="1"/>
  <c r="O404" i="1"/>
  <c r="N404" i="1"/>
  <c r="M404" i="1"/>
  <c r="N403" i="1"/>
  <c r="M403" i="1"/>
  <c r="O402" i="1"/>
  <c r="N402" i="1"/>
  <c r="M402" i="1"/>
  <c r="N401" i="1"/>
  <c r="M401" i="1"/>
  <c r="O400" i="1"/>
  <c r="N400" i="1"/>
  <c r="M400" i="1"/>
  <c r="N399" i="1"/>
  <c r="M399" i="1"/>
  <c r="O398" i="1"/>
  <c r="N398" i="1"/>
  <c r="M398" i="1"/>
  <c r="N397" i="1"/>
  <c r="M397" i="1"/>
  <c r="O396" i="1"/>
  <c r="N396" i="1"/>
  <c r="M396" i="1"/>
  <c r="N395" i="1"/>
  <c r="M395" i="1"/>
  <c r="O394" i="1"/>
  <c r="N394" i="1"/>
  <c r="M394" i="1"/>
  <c r="N393" i="1"/>
  <c r="M393" i="1"/>
  <c r="O392" i="1"/>
  <c r="N392" i="1"/>
  <c r="M392" i="1"/>
  <c r="N391" i="1"/>
  <c r="M391" i="1"/>
  <c r="O390" i="1"/>
  <c r="N390" i="1"/>
  <c r="M390" i="1"/>
  <c r="N389" i="1"/>
  <c r="M389" i="1"/>
  <c r="O388" i="1"/>
  <c r="N388" i="1"/>
  <c r="M388" i="1"/>
  <c r="N387" i="1"/>
  <c r="M387" i="1"/>
  <c r="O386" i="1"/>
  <c r="N386" i="1"/>
  <c r="M386" i="1"/>
  <c r="N385" i="1"/>
  <c r="M385" i="1"/>
  <c r="O384" i="1"/>
  <c r="N384" i="1"/>
  <c r="M384" i="1"/>
  <c r="N383" i="1"/>
  <c r="M383" i="1"/>
  <c r="O382" i="1"/>
  <c r="N382" i="1"/>
  <c r="M382" i="1"/>
  <c r="N381" i="1"/>
  <c r="M381" i="1"/>
  <c r="O380" i="1"/>
  <c r="N380" i="1"/>
  <c r="M380" i="1"/>
  <c r="N379" i="1"/>
  <c r="M379" i="1"/>
  <c r="O378" i="1"/>
  <c r="N378" i="1"/>
  <c r="M378" i="1"/>
  <c r="N377" i="1"/>
  <c r="M377" i="1"/>
  <c r="O376" i="1"/>
  <c r="N376" i="1"/>
  <c r="M376" i="1"/>
  <c r="N375" i="1"/>
  <c r="M375" i="1"/>
  <c r="O374" i="1"/>
  <c r="N374" i="1"/>
  <c r="M374" i="1"/>
  <c r="N373" i="1"/>
  <c r="M373" i="1"/>
  <c r="O372" i="1"/>
  <c r="N372" i="1"/>
  <c r="M372" i="1"/>
  <c r="N371" i="1"/>
  <c r="M371" i="1"/>
  <c r="O370" i="1"/>
  <c r="N370" i="1"/>
  <c r="M370" i="1"/>
  <c r="N369" i="1"/>
  <c r="M369" i="1"/>
  <c r="O368" i="1"/>
  <c r="N368" i="1"/>
  <c r="M368" i="1"/>
  <c r="N367" i="1"/>
  <c r="M367" i="1"/>
  <c r="O366" i="1"/>
  <c r="N366" i="1"/>
  <c r="M366" i="1"/>
  <c r="N365" i="1"/>
  <c r="M365" i="1"/>
  <c r="O364" i="1"/>
  <c r="N364" i="1"/>
  <c r="M364" i="1"/>
  <c r="N363" i="1"/>
  <c r="M363" i="1"/>
  <c r="O362" i="1"/>
  <c r="N362" i="1"/>
  <c r="M362" i="1"/>
  <c r="N361" i="1"/>
  <c r="M361" i="1"/>
  <c r="O360" i="1"/>
  <c r="N360" i="1"/>
  <c r="M360" i="1"/>
  <c r="N359" i="1"/>
  <c r="M359" i="1"/>
  <c r="O358" i="1"/>
  <c r="N358" i="1"/>
  <c r="M358" i="1"/>
  <c r="N357" i="1"/>
  <c r="M357" i="1"/>
  <c r="O356" i="1"/>
  <c r="N356" i="1"/>
  <c r="M356" i="1"/>
  <c r="N355" i="1"/>
  <c r="M355" i="1"/>
  <c r="O354" i="1"/>
  <c r="N354" i="1"/>
  <c r="M354" i="1"/>
  <c r="N353" i="1"/>
  <c r="M353" i="1"/>
  <c r="O352" i="1"/>
  <c r="N352" i="1"/>
  <c r="M352" i="1"/>
  <c r="N351" i="1"/>
  <c r="M351" i="1"/>
  <c r="O350" i="1"/>
  <c r="N350" i="1"/>
  <c r="M350" i="1"/>
  <c r="N349" i="1"/>
  <c r="M349" i="1"/>
  <c r="O348" i="1"/>
  <c r="N348" i="1"/>
  <c r="M348" i="1"/>
  <c r="N347" i="1"/>
  <c r="M347" i="1"/>
  <c r="O346" i="1"/>
  <c r="N346" i="1"/>
  <c r="M346" i="1"/>
  <c r="N345" i="1"/>
  <c r="M345" i="1"/>
  <c r="O344" i="1"/>
  <c r="N344" i="1"/>
  <c r="M344" i="1"/>
  <c r="N343" i="1"/>
  <c r="M343" i="1"/>
  <c r="O342" i="1"/>
  <c r="N342" i="1"/>
  <c r="M342" i="1"/>
  <c r="N341" i="1"/>
  <c r="M341" i="1"/>
  <c r="O340" i="1"/>
  <c r="N340" i="1"/>
  <c r="M340" i="1"/>
  <c r="N339" i="1"/>
  <c r="M339" i="1"/>
  <c r="O338" i="1"/>
  <c r="N338" i="1"/>
  <c r="M338" i="1"/>
  <c r="N337" i="1"/>
  <c r="M337" i="1"/>
  <c r="O336" i="1"/>
  <c r="N336" i="1"/>
  <c r="M336" i="1"/>
  <c r="N335" i="1"/>
  <c r="M335" i="1"/>
  <c r="O334" i="1"/>
  <c r="N334" i="1"/>
  <c r="M334" i="1"/>
  <c r="N333" i="1"/>
  <c r="M333" i="1"/>
  <c r="O332" i="1"/>
  <c r="N332" i="1"/>
  <c r="M332" i="1"/>
  <c r="N331" i="1"/>
  <c r="M331" i="1"/>
  <c r="O330" i="1"/>
  <c r="N330" i="1"/>
  <c r="M330" i="1"/>
  <c r="N329" i="1"/>
  <c r="M329" i="1"/>
  <c r="O328" i="1"/>
  <c r="N328" i="1"/>
  <c r="M328" i="1"/>
  <c r="N327" i="1"/>
  <c r="M327" i="1"/>
  <c r="O326" i="1"/>
  <c r="N326" i="1"/>
  <c r="M326" i="1"/>
  <c r="N325" i="1"/>
  <c r="M325" i="1"/>
  <c r="O324" i="1"/>
  <c r="N324" i="1"/>
  <c r="M324" i="1"/>
  <c r="N323" i="1"/>
  <c r="M323" i="1"/>
  <c r="O322" i="1"/>
  <c r="N322" i="1"/>
  <c r="M322" i="1"/>
  <c r="N321" i="1"/>
  <c r="M321" i="1"/>
  <c r="O320" i="1"/>
  <c r="N320" i="1"/>
  <c r="M320" i="1"/>
  <c r="N319" i="1"/>
  <c r="M319" i="1"/>
  <c r="O318" i="1"/>
  <c r="N318" i="1"/>
  <c r="M318" i="1"/>
  <c r="N317" i="1"/>
  <c r="M317" i="1"/>
  <c r="O316" i="1"/>
  <c r="N316" i="1"/>
  <c r="M316" i="1"/>
  <c r="N315" i="1"/>
  <c r="M315" i="1"/>
  <c r="O314" i="1"/>
  <c r="N314" i="1"/>
  <c r="M314" i="1"/>
  <c r="N313" i="1"/>
  <c r="M313" i="1"/>
  <c r="O312" i="1"/>
  <c r="N312" i="1"/>
  <c r="M312" i="1"/>
  <c r="N311" i="1"/>
  <c r="M311" i="1"/>
  <c r="O310" i="1"/>
  <c r="N310" i="1"/>
  <c r="M310" i="1"/>
  <c r="N309" i="1"/>
  <c r="M309" i="1"/>
  <c r="O308" i="1"/>
  <c r="N308" i="1"/>
  <c r="M308" i="1"/>
  <c r="N307" i="1"/>
  <c r="M307" i="1"/>
  <c r="O306" i="1"/>
  <c r="N306" i="1"/>
  <c r="M306" i="1"/>
  <c r="N305" i="1"/>
  <c r="M305" i="1"/>
  <c r="O304" i="1"/>
  <c r="N304" i="1"/>
  <c r="M304" i="1"/>
  <c r="N303" i="1"/>
  <c r="M303" i="1"/>
  <c r="O302" i="1"/>
  <c r="N302" i="1"/>
  <c r="M302" i="1"/>
  <c r="N301" i="1"/>
  <c r="M301" i="1"/>
  <c r="O300" i="1"/>
  <c r="N300" i="1"/>
  <c r="M300" i="1"/>
  <c r="N299" i="1"/>
  <c r="M299" i="1"/>
  <c r="O298" i="1"/>
  <c r="N298" i="1"/>
  <c r="M298" i="1"/>
  <c r="N297" i="1"/>
  <c r="M297" i="1"/>
  <c r="O296" i="1"/>
  <c r="N296" i="1"/>
  <c r="M296" i="1"/>
  <c r="N295" i="1"/>
  <c r="M295" i="1"/>
  <c r="O294" i="1"/>
  <c r="N294" i="1"/>
  <c r="M294" i="1"/>
  <c r="N293" i="1"/>
  <c r="M293" i="1"/>
  <c r="O292" i="1"/>
  <c r="N292" i="1"/>
  <c r="M292" i="1"/>
  <c r="N291" i="1"/>
  <c r="M291" i="1"/>
  <c r="O290" i="1"/>
  <c r="N290" i="1"/>
  <c r="M290" i="1"/>
  <c r="N289" i="1"/>
  <c r="M289" i="1"/>
  <c r="O288" i="1"/>
  <c r="N288" i="1"/>
  <c r="M288" i="1"/>
  <c r="N287" i="1"/>
  <c r="M287" i="1"/>
  <c r="O286" i="1"/>
  <c r="N286" i="1"/>
  <c r="M286" i="1"/>
  <c r="N285" i="1"/>
  <c r="M285" i="1"/>
  <c r="O284" i="1"/>
  <c r="N284" i="1"/>
  <c r="M284" i="1"/>
  <c r="N283" i="1"/>
  <c r="M283" i="1"/>
  <c r="O282" i="1"/>
  <c r="N282" i="1"/>
  <c r="M282" i="1"/>
  <c r="N281" i="1"/>
  <c r="M281" i="1"/>
  <c r="O280" i="1"/>
  <c r="N280" i="1"/>
  <c r="M280" i="1"/>
  <c r="N279" i="1"/>
  <c r="M279" i="1"/>
  <c r="O278" i="1"/>
  <c r="N278" i="1"/>
  <c r="M278" i="1"/>
  <c r="N277" i="1"/>
  <c r="M277" i="1"/>
  <c r="O276" i="1"/>
  <c r="N276" i="1"/>
  <c r="M276" i="1"/>
  <c r="N275" i="1"/>
  <c r="M275" i="1"/>
  <c r="O274" i="1"/>
  <c r="N274" i="1"/>
  <c r="M274" i="1"/>
  <c r="N273" i="1"/>
  <c r="M273" i="1"/>
  <c r="O272" i="1"/>
  <c r="N272" i="1"/>
  <c r="M272" i="1"/>
  <c r="N271" i="1"/>
  <c r="M271" i="1"/>
  <c r="O270" i="1"/>
  <c r="N270" i="1"/>
  <c r="M270" i="1"/>
  <c r="N269" i="1"/>
  <c r="M269" i="1"/>
  <c r="O268" i="1"/>
  <c r="N268" i="1"/>
  <c r="M268" i="1"/>
  <c r="N267" i="1"/>
  <c r="M267" i="1"/>
  <c r="O266" i="1"/>
  <c r="N266" i="1"/>
  <c r="M266" i="1"/>
  <c r="N265" i="1"/>
  <c r="M265" i="1"/>
  <c r="O264" i="1"/>
  <c r="N264" i="1"/>
  <c r="M264" i="1"/>
  <c r="N263" i="1"/>
  <c r="M263" i="1"/>
  <c r="O262" i="1"/>
  <c r="N262" i="1"/>
  <c r="M262" i="1"/>
  <c r="N261" i="1"/>
  <c r="M261" i="1"/>
  <c r="O260" i="1"/>
  <c r="N260" i="1"/>
  <c r="M260" i="1"/>
  <c r="N259" i="1"/>
  <c r="M259" i="1"/>
  <c r="O258" i="1"/>
  <c r="N258" i="1"/>
  <c r="M258" i="1"/>
  <c r="N257" i="1"/>
  <c r="M257" i="1"/>
  <c r="O256" i="1"/>
  <c r="N256" i="1"/>
  <c r="M256" i="1"/>
  <c r="N255" i="1"/>
  <c r="M255" i="1"/>
  <c r="O254" i="1"/>
  <c r="N254" i="1"/>
  <c r="M254" i="1"/>
  <c r="N253" i="1"/>
  <c r="M253" i="1"/>
  <c r="O252" i="1"/>
  <c r="N252" i="1"/>
  <c r="M252" i="1"/>
  <c r="N251" i="1"/>
  <c r="M251" i="1"/>
  <c r="O250" i="1"/>
  <c r="N250" i="1"/>
  <c r="M250" i="1"/>
  <c r="N249" i="1"/>
  <c r="M249" i="1"/>
  <c r="O248" i="1"/>
  <c r="N248" i="1"/>
  <c r="M248" i="1"/>
  <c r="N247" i="1"/>
  <c r="M247" i="1"/>
  <c r="N246" i="1"/>
  <c r="M246" i="1"/>
  <c r="N245" i="1"/>
  <c r="O245" i="1" s="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O82" i="1" s="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O66" i="1" s="1"/>
  <c r="M66" i="1"/>
  <c r="N65" i="1"/>
  <c r="M65" i="1"/>
  <c r="N64" i="1"/>
  <c r="M64" i="1"/>
  <c r="N63" i="1"/>
  <c r="M63" i="1"/>
  <c r="N62" i="1"/>
  <c r="M62" i="1"/>
  <c r="N61" i="1"/>
  <c r="M61" i="1"/>
  <c r="N60" i="1"/>
  <c r="M60" i="1"/>
  <c r="N59" i="1"/>
  <c r="M59" i="1"/>
  <c r="N58" i="1"/>
  <c r="M58" i="1"/>
  <c r="N57" i="1"/>
  <c r="M57" i="1"/>
  <c r="N56" i="1"/>
  <c r="M56" i="1"/>
  <c r="N55" i="1"/>
  <c r="O55" i="1" s="1"/>
  <c r="M55" i="1"/>
  <c r="N54" i="1"/>
  <c r="M54" i="1"/>
  <c r="N53" i="1"/>
  <c r="M53" i="1"/>
  <c r="N52" i="1"/>
  <c r="M52" i="1"/>
  <c r="N51" i="1"/>
  <c r="M51" i="1"/>
  <c r="N50" i="1"/>
  <c r="O50" i="1" s="1"/>
  <c r="M50" i="1"/>
  <c r="N49" i="1"/>
  <c r="M49" i="1"/>
  <c r="N48" i="1"/>
  <c r="M48" i="1"/>
  <c r="N47" i="1"/>
  <c r="M47" i="1"/>
  <c r="N46" i="1"/>
  <c r="M46" i="1"/>
  <c r="N45" i="1"/>
  <c r="O45" i="1" s="1"/>
  <c r="M45" i="1"/>
  <c r="N44" i="1"/>
  <c r="M44" i="1"/>
  <c r="N43" i="1"/>
  <c r="M43" i="1"/>
  <c r="N42" i="1"/>
  <c r="M42" i="1"/>
  <c r="N41" i="1"/>
  <c r="M41" i="1"/>
  <c r="N40" i="1"/>
  <c r="M40" i="1"/>
  <c r="N39" i="1"/>
  <c r="O39" i="1" s="1"/>
  <c r="M39" i="1"/>
  <c r="N38" i="1"/>
  <c r="M38" i="1"/>
  <c r="N37" i="1"/>
  <c r="M37" i="1"/>
  <c r="N36" i="1"/>
  <c r="M36" i="1"/>
  <c r="N35" i="1"/>
  <c r="O35" i="1" s="1"/>
  <c r="M35" i="1"/>
  <c r="N34" i="1"/>
  <c r="M34" i="1"/>
  <c r="N33" i="1"/>
  <c r="M33" i="1"/>
  <c r="N32" i="1"/>
  <c r="O32" i="1" s="1"/>
  <c r="M32" i="1"/>
  <c r="N31" i="1"/>
  <c r="M31" i="1"/>
  <c r="N30" i="1"/>
  <c r="M30" i="1"/>
  <c r="N29" i="1"/>
  <c r="M29" i="1"/>
  <c r="N28" i="1"/>
  <c r="O28" i="1" s="1"/>
  <c r="M28" i="1"/>
  <c r="N27" i="1"/>
  <c r="M27" i="1"/>
  <c r="N26" i="1"/>
  <c r="M26" i="1"/>
  <c r="N25" i="1"/>
  <c r="O25" i="1" s="1"/>
  <c r="M25" i="1"/>
  <c r="N24" i="1"/>
  <c r="M24" i="1"/>
  <c r="N23" i="1"/>
  <c r="M23" i="1"/>
  <c r="N22" i="1"/>
  <c r="O22" i="1" s="1"/>
  <c r="M22" i="1"/>
  <c r="N21" i="1"/>
  <c r="M21" i="1"/>
  <c r="N20" i="1"/>
  <c r="M20" i="1"/>
  <c r="N19" i="1"/>
  <c r="O19" i="1" s="1"/>
  <c r="M19" i="1"/>
  <c r="N18" i="1"/>
  <c r="M18" i="1"/>
  <c r="N17" i="1"/>
  <c r="M17" i="1"/>
  <c r="N16" i="1"/>
  <c r="O16" i="1" s="1"/>
  <c r="M16" i="1"/>
  <c r="N15" i="1"/>
  <c r="M15" i="1"/>
  <c r="N14" i="1"/>
  <c r="M14" i="1"/>
  <c r="N13" i="1"/>
  <c r="M13" i="1"/>
  <c r="N12" i="1"/>
  <c r="M12" i="1"/>
  <c r="N11" i="1"/>
  <c r="O11" i="1" s="1"/>
  <c r="M11" i="1"/>
  <c r="N10" i="1"/>
  <c r="M10" i="1"/>
  <c r="N9" i="1"/>
  <c r="M9" i="1"/>
  <c r="N8" i="1"/>
  <c r="O8" i="1" s="1"/>
  <c r="M8" i="1"/>
  <c r="N7" i="1"/>
  <c r="M7" i="1"/>
  <c r="N6" i="1"/>
  <c r="M6" i="1"/>
  <c r="N5" i="1"/>
  <c r="O5" i="1" s="1"/>
  <c r="M5" i="1"/>
  <c r="N4" i="1"/>
  <c r="M4" i="1"/>
  <c r="N3" i="1"/>
  <c r="M3" i="1"/>
  <c r="N2" i="1"/>
  <c r="O2" i="1" s="1"/>
  <c r="M2" i="1"/>
  <c r="P24" i="1" l="1"/>
  <c r="P38" i="1"/>
  <c r="P78" i="1"/>
  <c r="P14" i="1"/>
  <c r="P44" i="1"/>
  <c r="P60" i="1"/>
  <c r="P74" i="1"/>
  <c r="P13" i="1"/>
  <c r="P33" i="1"/>
  <c r="P47" i="1"/>
  <c r="P73" i="1"/>
  <c r="O249" i="1"/>
  <c r="P249" i="1" s="1"/>
  <c r="O265" i="1"/>
  <c r="P265" i="1" s="1"/>
  <c r="O329" i="1"/>
  <c r="P329" i="1" s="1"/>
  <c r="O353" i="1"/>
  <c r="P353" i="1" s="1"/>
  <c r="O377" i="1"/>
  <c r="P377" i="1" s="1"/>
  <c r="O393" i="1"/>
  <c r="P393" i="1" s="1"/>
  <c r="O417" i="1"/>
  <c r="P417" i="1" s="1"/>
  <c r="O423" i="1"/>
  <c r="P423" i="1" s="1"/>
  <c r="O427" i="1"/>
  <c r="P427" i="1" s="1"/>
  <c r="O433" i="1"/>
  <c r="P433" i="1" s="1"/>
  <c r="O439" i="1"/>
  <c r="P439" i="1" s="1"/>
  <c r="O447" i="1"/>
  <c r="P447" i="1" s="1"/>
  <c r="O451" i="1"/>
  <c r="P451" i="1" s="1"/>
  <c r="O455" i="1"/>
  <c r="P455" i="1" s="1"/>
  <c r="O459" i="1"/>
  <c r="P459" i="1" s="1"/>
  <c r="O465" i="1"/>
  <c r="P465" i="1" s="1"/>
  <c r="O469" i="1"/>
  <c r="P469" i="1" s="1"/>
  <c r="O473" i="1"/>
  <c r="P473" i="1" s="1"/>
  <c r="O477" i="1"/>
  <c r="P477" i="1" s="1"/>
  <c r="O481" i="1"/>
  <c r="P481" i="1" s="1"/>
  <c r="O485" i="1"/>
  <c r="P485" i="1" s="1"/>
  <c r="O489" i="1"/>
  <c r="P489" i="1" s="1"/>
  <c r="O493" i="1"/>
  <c r="P493" i="1" s="1"/>
  <c r="O497" i="1"/>
  <c r="P497" i="1" s="1"/>
  <c r="O3" i="1"/>
  <c r="P3" i="1" s="1"/>
  <c r="O6" i="1"/>
  <c r="P6" i="1" s="1"/>
  <c r="O9" i="1"/>
  <c r="P9" i="1" s="1"/>
  <c r="O12" i="1"/>
  <c r="P12" i="1" s="1"/>
  <c r="O14" i="1"/>
  <c r="O17" i="1"/>
  <c r="P17" i="1" s="1"/>
  <c r="O20" i="1"/>
  <c r="P20" i="1" s="1"/>
  <c r="O23" i="1"/>
  <c r="P23" i="1" s="1"/>
  <c r="O27" i="1"/>
  <c r="P27" i="1" s="1"/>
  <c r="O30" i="1"/>
  <c r="P30" i="1" s="1"/>
  <c r="O33" i="1"/>
  <c r="O36" i="1"/>
  <c r="P36" i="1" s="1"/>
  <c r="O38" i="1"/>
  <c r="O41" i="1"/>
  <c r="P41" i="1" s="1"/>
  <c r="O43" i="1"/>
  <c r="P43" i="1" s="1"/>
  <c r="O46" i="1"/>
  <c r="P46" i="1" s="1"/>
  <c r="O48" i="1"/>
  <c r="P48" i="1" s="1"/>
  <c r="O52" i="1"/>
  <c r="P52" i="1" s="1"/>
  <c r="O54" i="1"/>
  <c r="P54" i="1" s="1"/>
  <c r="O57" i="1"/>
  <c r="P57" i="1" s="1"/>
  <c r="O59" i="1"/>
  <c r="P59" i="1" s="1"/>
  <c r="O61" i="1"/>
  <c r="P61" i="1" s="1"/>
  <c r="O63" i="1"/>
  <c r="P63" i="1" s="1"/>
  <c r="O65" i="1"/>
  <c r="P65" i="1" s="1"/>
  <c r="O68" i="1"/>
  <c r="P68" i="1" s="1"/>
  <c r="O70" i="1"/>
  <c r="P70" i="1" s="1"/>
  <c r="O71" i="1"/>
  <c r="P71" i="1" s="1"/>
  <c r="O72" i="1"/>
  <c r="P72" i="1" s="1"/>
  <c r="O73" i="1"/>
  <c r="O74" i="1"/>
  <c r="O75" i="1"/>
  <c r="P75" i="1" s="1"/>
  <c r="O77" i="1"/>
  <c r="P77" i="1" s="1"/>
  <c r="O78" i="1"/>
  <c r="O79" i="1"/>
  <c r="P79" i="1" s="1"/>
  <c r="O80" i="1"/>
  <c r="P80" i="1" s="1"/>
  <c r="O81" i="1"/>
  <c r="P81" i="1" s="1"/>
  <c r="O84" i="1"/>
  <c r="P84" i="1" s="1"/>
  <c r="O86" i="1"/>
  <c r="P86" i="1" s="1"/>
  <c r="O88" i="1"/>
  <c r="P88" i="1" s="1"/>
  <c r="O90" i="1"/>
  <c r="P90" i="1" s="1"/>
  <c r="O92" i="1"/>
  <c r="P92" i="1" s="1"/>
  <c r="O94" i="1"/>
  <c r="P94" i="1" s="1"/>
  <c r="O96" i="1"/>
  <c r="P96" i="1" s="1"/>
  <c r="O98" i="1"/>
  <c r="P98" i="1" s="1"/>
  <c r="O100" i="1"/>
  <c r="P100" i="1" s="1"/>
  <c r="O102" i="1"/>
  <c r="P102" i="1" s="1"/>
  <c r="O104" i="1"/>
  <c r="P104" i="1" s="1"/>
  <c r="O106" i="1"/>
  <c r="P106" i="1" s="1"/>
  <c r="O108" i="1"/>
  <c r="P108" i="1" s="1"/>
  <c r="O110" i="1"/>
  <c r="P110" i="1" s="1"/>
  <c r="O112" i="1"/>
  <c r="P112" i="1" s="1"/>
  <c r="O114" i="1"/>
  <c r="P114" i="1" s="1"/>
  <c r="O116" i="1"/>
  <c r="P116" i="1" s="1"/>
  <c r="O118" i="1"/>
  <c r="P118" i="1" s="1"/>
  <c r="O120" i="1"/>
  <c r="P120" i="1" s="1"/>
  <c r="O122" i="1"/>
  <c r="P122" i="1" s="1"/>
  <c r="O124" i="1"/>
  <c r="P124" i="1" s="1"/>
  <c r="O126" i="1"/>
  <c r="P126" i="1" s="1"/>
  <c r="O128" i="1"/>
  <c r="P128" i="1" s="1"/>
  <c r="O130" i="1"/>
  <c r="P130" i="1" s="1"/>
  <c r="O132" i="1"/>
  <c r="P132" i="1" s="1"/>
  <c r="O134" i="1"/>
  <c r="P134" i="1" s="1"/>
  <c r="O136" i="1"/>
  <c r="P136" i="1" s="1"/>
  <c r="O138" i="1"/>
  <c r="P138" i="1" s="1"/>
  <c r="O140" i="1"/>
  <c r="P140" i="1" s="1"/>
  <c r="O142" i="1"/>
  <c r="P142" i="1" s="1"/>
  <c r="O144" i="1"/>
  <c r="P144" i="1" s="1"/>
  <c r="O146" i="1"/>
  <c r="P146" i="1" s="1"/>
  <c r="P154" i="1"/>
  <c r="P162" i="1"/>
  <c r="P170" i="1"/>
  <c r="P178" i="1"/>
  <c r="P186" i="1"/>
  <c r="P194" i="1"/>
  <c r="P202" i="1"/>
  <c r="P210" i="1"/>
  <c r="P218" i="1"/>
  <c r="P226" i="1"/>
  <c r="P234" i="1"/>
  <c r="P242" i="1"/>
  <c r="O246" i="1"/>
  <c r="P246" i="1"/>
  <c r="P82" i="1"/>
  <c r="O257" i="1"/>
  <c r="P257" i="1" s="1"/>
  <c r="O281" i="1"/>
  <c r="P281" i="1" s="1"/>
  <c r="O289" i="1"/>
  <c r="P289" i="1" s="1"/>
  <c r="O297" i="1"/>
  <c r="P297" i="1" s="1"/>
  <c r="O305" i="1"/>
  <c r="P305" i="1" s="1"/>
  <c r="O313" i="1"/>
  <c r="P313" i="1" s="1"/>
  <c r="O321" i="1"/>
  <c r="P321" i="1" s="1"/>
  <c r="O337" i="1"/>
  <c r="P337" i="1" s="1"/>
  <c r="O369" i="1"/>
  <c r="P369" i="1" s="1"/>
  <c r="O385" i="1"/>
  <c r="P385" i="1" s="1"/>
  <c r="O409" i="1"/>
  <c r="P409" i="1" s="1"/>
  <c r="O421" i="1"/>
  <c r="P421" i="1" s="1"/>
  <c r="O429" i="1"/>
  <c r="P429" i="1" s="1"/>
  <c r="O435" i="1"/>
  <c r="P435" i="1" s="1"/>
  <c r="O441" i="1"/>
  <c r="P441" i="1" s="1"/>
  <c r="O443" i="1"/>
  <c r="P443" i="1" s="1"/>
  <c r="O449" i="1"/>
  <c r="P449" i="1" s="1"/>
  <c r="O457" i="1"/>
  <c r="P457" i="1" s="1"/>
  <c r="O461" i="1"/>
  <c r="P461" i="1" s="1"/>
  <c r="O467" i="1"/>
  <c r="P467" i="1" s="1"/>
  <c r="O471" i="1"/>
  <c r="P471" i="1" s="1"/>
  <c r="O475" i="1"/>
  <c r="P475" i="1" s="1"/>
  <c r="O479" i="1"/>
  <c r="P479" i="1" s="1"/>
  <c r="O483" i="1"/>
  <c r="P483" i="1" s="1"/>
  <c r="O487" i="1"/>
  <c r="P487" i="1" s="1"/>
  <c r="O491" i="1"/>
  <c r="P491" i="1" s="1"/>
  <c r="O499" i="1"/>
  <c r="P499" i="1" s="1"/>
  <c r="O4" i="1"/>
  <c r="P4" i="1" s="1"/>
  <c r="O7" i="1"/>
  <c r="P7" i="1" s="1"/>
  <c r="O10" i="1"/>
  <c r="P10" i="1" s="1"/>
  <c r="O13" i="1"/>
  <c r="O15" i="1"/>
  <c r="P15" i="1" s="1"/>
  <c r="O18" i="1"/>
  <c r="P18" i="1" s="1"/>
  <c r="O21" i="1"/>
  <c r="P21" i="1" s="1"/>
  <c r="O24" i="1"/>
  <c r="O26" i="1"/>
  <c r="P26" i="1" s="1"/>
  <c r="O29" i="1"/>
  <c r="P29" i="1" s="1"/>
  <c r="O31" i="1"/>
  <c r="P31" i="1" s="1"/>
  <c r="O34" i="1"/>
  <c r="P34" i="1" s="1"/>
  <c r="O37" i="1"/>
  <c r="P37" i="1" s="1"/>
  <c r="O40" i="1"/>
  <c r="P40" i="1" s="1"/>
  <c r="O42" i="1"/>
  <c r="P42" i="1" s="1"/>
  <c r="O44" i="1"/>
  <c r="O47" i="1"/>
  <c r="O49" i="1"/>
  <c r="P49" i="1" s="1"/>
  <c r="O51" i="1"/>
  <c r="P51" i="1" s="1"/>
  <c r="O53" i="1"/>
  <c r="P53" i="1" s="1"/>
  <c r="O56" i="1"/>
  <c r="P56" i="1" s="1"/>
  <c r="O58" i="1"/>
  <c r="P58" i="1" s="1"/>
  <c r="O60" i="1"/>
  <c r="O62" i="1"/>
  <c r="P62" i="1" s="1"/>
  <c r="O64" i="1"/>
  <c r="P64" i="1" s="1"/>
  <c r="O67" i="1"/>
  <c r="P67" i="1" s="1"/>
  <c r="O69" i="1"/>
  <c r="P69" i="1" s="1"/>
  <c r="O76" i="1"/>
  <c r="P76" i="1" s="1"/>
  <c r="P2" i="1"/>
  <c r="P5" i="1"/>
  <c r="P8" i="1"/>
  <c r="P11" i="1"/>
  <c r="P16" i="1"/>
  <c r="P19" i="1"/>
  <c r="P22" i="1"/>
  <c r="P25" i="1"/>
  <c r="P28" i="1"/>
  <c r="P32" i="1"/>
  <c r="P35" i="1"/>
  <c r="P39" i="1"/>
  <c r="P45" i="1"/>
  <c r="P50" i="1"/>
  <c r="P55" i="1"/>
  <c r="P66" i="1"/>
  <c r="O273" i="1"/>
  <c r="P273" i="1" s="1"/>
  <c r="O345" i="1"/>
  <c r="P345" i="1" s="1"/>
  <c r="O361" i="1"/>
  <c r="P361" i="1" s="1"/>
  <c r="O401" i="1"/>
  <c r="P401" i="1" s="1"/>
  <c r="O419" i="1"/>
  <c r="P419" i="1" s="1"/>
  <c r="O425" i="1"/>
  <c r="P425" i="1" s="1"/>
  <c r="O431" i="1"/>
  <c r="P431" i="1" s="1"/>
  <c r="O437" i="1"/>
  <c r="P437" i="1" s="1"/>
  <c r="O445" i="1"/>
  <c r="P445" i="1" s="1"/>
  <c r="O453" i="1"/>
  <c r="P453" i="1" s="1"/>
  <c r="O463" i="1"/>
  <c r="P463" i="1" s="1"/>
  <c r="O495" i="1"/>
  <c r="P495" i="1" s="1"/>
  <c r="O83" i="1"/>
  <c r="P83" i="1" s="1"/>
  <c r="O85" i="1"/>
  <c r="P85" i="1" s="1"/>
  <c r="O87" i="1"/>
  <c r="P87" i="1" s="1"/>
  <c r="O89" i="1"/>
  <c r="P89" i="1" s="1"/>
  <c r="O91" i="1"/>
  <c r="P91" i="1" s="1"/>
  <c r="O93" i="1"/>
  <c r="P93" i="1" s="1"/>
  <c r="O95" i="1"/>
  <c r="P95" i="1" s="1"/>
  <c r="O97" i="1"/>
  <c r="P97" i="1" s="1"/>
  <c r="O99" i="1"/>
  <c r="P99" i="1" s="1"/>
  <c r="O101" i="1"/>
  <c r="P101" i="1" s="1"/>
  <c r="O103" i="1"/>
  <c r="P103" i="1" s="1"/>
  <c r="O105" i="1"/>
  <c r="P105" i="1" s="1"/>
  <c r="O107" i="1"/>
  <c r="P107" i="1" s="1"/>
  <c r="O109" i="1"/>
  <c r="P109" i="1" s="1"/>
  <c r="O111" i="1"/>
  <c r="P111" i="1" s="1"/>
  <c r="O113" i="1"/>
  <c r="P113" i="1" s="1"/>
  <c r="O115" i="1"/>
  <c r="P115" i="1" s="1"/>
  <c r="O117" i="1"/>
  <c r="P117" i="1" s="1"/>
  <c r="O119" i="1"/>
  <c r="P119" i="1" s="1"/>
  <c r="O121" i="1"/>
  <c r="P121" i="1" s="1"/>
  <c r="O123" i="1"/>
  <c r="P123" i="1" s="1"/>
  <c r="O125" i="1"/>
  <c r="P125" i="1" s="1"/>
  <c r="O127" i="1"/>
  <c r="P127" i="1" s="1"/>
  <c r="O129" i="1"/>
  <c r="P129" i="1" s="1"/>
  <c r="O131" i="1"/>
  <c r="P131" i="1" s="1"/>
  <c r="O133" i="1"/>
  <c r="P133" i="1" s="1"/>
  <c r="O135" i="1"/>
  <c r="P135" i="1" s="1"/>
  <c r="O137" i="1"/>
  <c r="P137" i="1" s="1"/>
  <c r="O139" i="1"/>
  <c r="P139" i="1" s="1"/>
  <c r="O141" i="1"/>
  <c r="P141" i="1" s="1"/>
  <c r="O143" i="1"/>
  <c r="P143" i="1" s="1"/>
  <c r="O145" i="1"/>
  <c r="P145" i="1" s="1"/>
  <c r="P147" i="1"/>
  <c r="P155" i="1"/>
  <c r="P163" i="1"/>
  <c r="P171" i="1"/>
  <c r="P179" i="1"/>
  <c r="P251" i="1"/>
  <c r="O251" i="1"/>
  <c r="O259" i="1"/>
  <c r="P259" i="1" s="1"/>
  <c r="P267" i="1"/>
  <c r="O267" i="1"/>
  <c r="O275" i="1"/>
  <c r="P275" i="1" s="1"/>
  <c r="P283" i="1"/>
  <c r="O283" i="1"/>
  <c r="O291" i="1"/>
  <c r="P291" i="1" s="1"/>
  <c r="P299" i="1"/>
  <c r="O299" i="1"/>
  <c r="O307" i="1"/>
  <c r="P307" i="1" s="1"/>
  <c r="P315" i="1"/>
  <c r="O315" i="1"/>
  <c r="O147" i="1"/>
  <c r="O148" i="1"/>
  <c r="P148" i="1" s="1"/>
  <c r="O149" i="1"/>
  <c r="P149" i="1" s="1"/>
  <c r="O150" i="1"/>
  <c r="P150" i="1" s="1"/>
  <c r="O151" i="1"/>
  <c r="P151" i="1" s="1"/>
  <c r="O152" i="1"/>
  <c r="P152" i="1" s="1"/>
  <c r="O153" i="1"/>
  <c r="P153" i="1" s="1"/>
  <c r="O154" i="1"/>
  <c r="O155" i="1"/>
  <c r="O156" i="1"/>
  <c r="P156" i="1" s="1"/>
  <c r="O157" i="1"/>
  <c r="P157" i="1" s="1"/>
  <c r="O158" i="1"/>
  <c r="P158" i="1" s="1"/>
  <c r="O159" i="1"/>
  <c r="P159" i="1" s="1"/>
  <c r="O160" i="1"/>
  <c r="P160" i="1" s="1"/>
  <c r="O161" i="1"/>
  <c r="P161" i="1" s="1"/>
  <c r="O162" i="1"/>
  <c r="O163" i="1"/>
  <c r="O164" i="1"/>
  <c r="P164" i="1" s="1"/>
  <c r="O165" i="1"/>
  <c r="P165" i="1" s="1"/>
  <c r="O166" i="1"/>
  <c r="P166" i="1" s="1"/>
  <c r="O167" i="1"/>
  <c r="P167" i="1" s="1"/>
  <c r="O168" i="1"/>
  <c r="P168" i="1" s="1"/>
  <c r="O169" i="1"/>
  <c r="P169" i="1" s="1"/>
  <c r="O170" i="1"/>
  <c r="O171" i="1"/>
  <c r="O172" i="1"/>
  <c r="P172" i="1" s="1"/>
  <c r="O173" i="1"/>
  <c r="P173" i="1" s="1"/>
  <c r="O174" i="1"/>
  <c r="P174" i="1" s="1"/>
  <c r="O175" i="1"/>
  <c r="P175" i="1" s="1"/>
  <c r="O176" i="1"/>
  <c r="P176" i="1" s="1"/>
  <c r="O177" i="1"/>
  <c r="P177" i="1" s="1"/>
  <c r="O178" i="1"/>
  <c r="O179" i="1"/>
  <c r="O180" i="1"/>
  <c r="P180" i="1" s="1"/>
  <c r="O181" i="1"/>
  <c r="P181" i="1" s="1"/>
  <c r="O182" i="1"/>
  <c r="P182" i="1" s="1"/>
  <c r="O183" i="1"/>
  <c r="P183" i="1" s="1"/>
  <c r="O184" i="1"/>
  <c r="P184" i="1" s="1"/>
  <c r="O185" i="1"/>
  <c r="P185" i="1" s="1"/>
  <c r="O186" i="1"/>
  <c r="O187" i="1"/>
  <c r="P187" i="1" s="1"/>
  <c r="O188" i="1"/>
  <c r="P188" i="1" s="1"/>
  <c r="O189" i="1"/>
  <c r="P189" i="1" s="1"/>
  <c r="O190" i="1"/>
  <c r="P190" i="1" s="1"/>
  <c r="O191" i="1"/>
  <c r="P191" i="1" s="1"/>
  <c r="O192" i="1"/>
  <c r="P192" i="1" s="1"/>
  <c r="O193" i="1"/>
  <c r="P193" i="1" s="1"/>
  <c r="O194" i="1"/>
  <c r="O195" i="1"/>
  <c r="P195" i="1" s="1"/>
  <c r="O196" i="1"/>
  <c r="P196" i="1" s="1"/>
  <c r="O197" i="1"/>
  <c r="P197" i="1" s="1"/>
  <c r="O198" i="1"/>
  <c r="P198" i="1" s="1"/>
  <c r="O199" i="1"/>
  <c r="P199" i="1" s="1"/>
  <c r="O200" i="1"/>
  <c r="P200" i="1" s="1"/>
  <c r="O201" i="1"/>
  <c r="P201" i="1" s="1"/>
  <c r="O202" i="1"/>
  <c r="O203" i="1"/>
  <c r="P203" i="1" s="1"/>
  <c r="O204" i="1"/>
  <c r="P204" i="1" s="1"/>
  <c r="O205" i="1"/>
  <c r="P205" i="1" s="1"/>
  <c r="O206" i="1"/>
  <c r="P206" i="1" s="1"/>
  <c r="O207" i="1"/>
  <c r="P207" i="1" s="1"/>
  <c r="O208" i="1"/>
  <c r="P208" i="1" s="1"/>
  <c r="O209" i="1"/>
  <c r="P209" i="1" s="1"/>
  <c r="O210" i="1"/>
  <c r="O211" i="1"/>
  <c r="P211" i="1" s="1"/>
  <c r="O212" i="1"/>
  <c r="P212" i="1" s="1"/>
  <c r="O213" i="1"/>
  <c r="P213" i="1" s="1"/>
  <c r="O214" i="1"/>
  <c r="P214" i="1" s="1"/>
  <c r="O215" i="1"/>
  <c r="P215" i="1" s="1"/>
  <c r="O216" i="1"/>
  <c r="P216" i="1" s="1"/>
  <c r="O217" i="1"/>
  <c r="P217" i="1" s="1"/>
  <c r="O218" i="1"/>
  <c r="O219" i="1"/>
  <c r="P219" i="1" s="1"/>
  <c r="O220" i="1"/>
  <c r="P220" i="1" s="1"/>
  <c r="O221" i="1"/>
  <c r="P221" i="1" s="1"/>
  <c r="O222" i="1"/>
  <c r="P222" i="1" s="1"/>
  <c r="O223" i="1"/>
  <c r="P223" i="1" s="1"/>
  <c r="O224" i="1"/>
  <c r="P224" i="1" s="1"/>
  <c r="O225" i="1"/>
  <c r="P225" i="1" s="1"/>
  <c r="O226" i="1"/>
  <c r="O227" i="1"/>
  <c r="P227" i="1" s="1"/>
  <c r="O228" i="1"/>
  <c r="P228" i="1" s="1"/>
  <c r="O229" i="1"/>
  <c r="P229" i="1" s="1"/>
  <c r="O230" i="1"/>
  <c r="P230" i="1" s="1"/>
  <c r="O231" i="1"/>
  <c r="P231" i="1" s="1"/>
  <c r="O232" i="1"/>
  <c r="P232" i="1" s="1"/>
  <c r="O233" i="1"/>
  <c r="P233" i="1" s="1"/>
  <c r="O234" i="1"/>
  <c r="O235" i="1"/>
  <c r="P235" i="1" s="1"/>
  <c r="O236" i="1"/>
  <c r="P236" i="1" s="1"/>
  <c r="O237" i="1"/>
  <c r="P237" i="1" s="1"/>
  <c r="O238" i="1"/>
  <c r="P238" i="1" s="1"/>
  <c r="O239" i="1"/>
  <c r="P239" i="1" s="1"/>
  <c r="O240" i="1"/>
  <c r="P240" i="1" s="1"/>
  <c r="O241" i="1"/>
  <c r="P241" i="1" s="1"/>
  <c r="O242" i="1"/>
  <c r="O243" i="1"/>
  <c r="P243" i="1" s="1"/>
  <c r="O244" i="1"/>
  <c r="P244" i="1" s="1"/>
  <c r="P245" i="1"/>
  <c r="O253" i="1"/>
  <c r="P253" i="1" s="1"/>
  <c r="O261" i="1"/>
  <c r="P261" i="1" s="1"/>
  <c r="O269" i="1"/>
  <c r="P269" i="1" s="1"/>
  <c r="O277" i="1"/>
  <c r="P277" i="1" s="1"/>
  <c r="O285" i="1"/>
  <c r="P285" i="1" s="1"/>
  <c r="O293" i="1"/>
  <c r="P293" i="1" s="1"/>
  <c r="O301" i="1"/>
  <c r="P301" i="1" s="1"/>
  <c r="O309" i="1"/>
  <c r="P309" i="1" s="1"/>
  <c r="O317" i="1"/>
  <c r="P317" i="1" s="1"/>
  <c r="O325" i="1"/>
  <c r="P325" i="1" s="1"/>
  <c r="O333" i="1"/>
  <c r="P333" i="1" s="1"/>
  <c r="O341" i="1"/>
  <c r="P341" i="1" s="1"/>
  <c r="O349" i="1"/>
  <c r="P349" i="1" s="1"/>
  <c r="O357" i="1"/>
  <c r="P357" i="1" s="1"/>
  <c r="O365" i="1"/>
  <c r="P365" i="1" s="1"/>
  <c r="O373" i="1"/>
  <c r="P373" i="1" s="1"/>
  <c r="O381" i="1"/>
  <c r="P381" i="1" s="1"/>
  <c r="O389" i="1"/>
  <c r="P389" i="1" s="1"/>
  <c r="O397" i="1"/>
  <c r="P397" i="1" s="1"/>
  <c r="O405" i="1"/>
  <c r="P405" i="1" s="1"/>
  <c r="O413" i="1"/>
  <c r="P413" i="1" s="1"/>
  <c r="O247" i="1"/>
  <c r="P247" i="1" s="1"/>
  <c r="O255" i="1"/>
  <c r="P255" i="1" s="1"/>
  <c r="O263" i="1"/>
  <c r="P263" i="1" s="1"/>
  <c r="O271" i="1"/>
  <c r="P271" i="1" s="1"/>
  <c r="O279" i="1"/>
  <c r="P279" i="1" s="1"/>
  <c r="O287" i="1"/>
  <c r="P287" i="1" s="1"/>
  <c r="O295" i="1"/>
  <c r="P295" i="1" s="1"/>
  <c r="O303" i="1"/>
  <c r="P303" i="1" s="1"/>
  <c r="O311" i="1"/>
  <c r="P311" i="1" s="1"/>
  <c r="O319" i="1"/>
  <c r="P319" i="1" s="1"/>
  <c r="P248" i="1"/>
  <c r="P252" i="1"/>
  <c r="P256" i="1"/>
  <c r="P260" i="1"/>
  <c r="P264" i="1"/>
  <c r="P268" i="1"/>
  <c r="P272" i="1"/>
  <c r="P276" i="1"/>
  <c r="P280" i="1"/>
  <c r="P284" i="1"/>
  <c r="P288" i="1"/>
  <c r="P292" i="1"/>
  <c r="P296" i="1"/>
  <c r="P300" i="1"/>
  <c r="P304" i="1"/>
  <c r="P308" i="1"/>
  <c r="P312" i="1"/>
  <c r="P316" i="1"/>
  <c r="P320" i="1"/>
  <c r="P324" i="1"/>
  <c r="P328" i="1"/>
  <c r="P332" i="1"/>
  <c r="P336" i="1"/>
  <c r="P340" i="1"/>
  <c r="P344" i="1"/>
  <c r="P348" i="1"/>
  <c r="P352" i="1"/>
  <c r="P356" i="1"/>
  <c r="P360" i="1"/>
  <c r="P364" i="1"/>
  <c r="P368" i="1"/>
  <c r="P372" i="1"/>
  <c r="P376" i="1"/>
  <c r="P380" i="1"/>
  <c r="P384" i="1"/>
  <c r="P388" i="1"/>
  <c r="P392" i="1"/>
  <c r="P396" i="1"/>
  <c r="P400" i="1"/>
  <c r="P404" i="1"/>
  <c r="P408" i="1"/>
  <c r="P412" i="1"/>
  <c r="P416" i="1"/>
  <c r="P327" i="1"/>
  <c r="P331" i="1"/>
  <c r="P343" i="1"/>
  <c r="P347" i="1"/>
  <c r="P359" i="1"/>
  <c r="P363" i="1"/>
  <c r="P375" i="1"/>
  <c r="P379" i="1"/>
  <c r="P391" i="1"/>
  <c r="P395" i="1"/>
  <c r="P407" i="1"/>
  <c r="P411" i="1"/>
  <c r="O418" i="1"/>
  <c r="P418" i="1" s="1"/>
  <c r="P420" i="1"/>
  <c r="O420" i="1"/>
  <c r="O422" i="1"/>
  <c r="P422" i="1" s="1"/>
  <c r="P424" i="1"/>
  <c r="O424" i="1"/>
  <c r="O426" i="1"/>
  <c r="P426" i="1" s="1"/>
  <c r="P428" i="1"/>
  <c r="O428" i="1"/>
  <c r="O430" i="1"/>
  <c r="P430" i="1" s="1"/>
  <c r="P432" i="1"/>
  <c r="O432" i="1"/>
  <c r="O434" i="1"/>
  <c r="P434" i="1" s="1"/>
  <c r="P436" i="1"/>
  <c r="O436" i="1"/>
  <c r="O438" i="1"/>
  <c r="P438" i="1" s="1"/>
  <c r="P440" i="1"/>
  <c r="O440" i="1"/>
  <c r="O442" i="1"/>
  <c r="P442" i="1" s="1"/>
  <c r="P444" i="1"/>
  <c r="O444" i="1"/>
  <c r="O446" i="1"/>
  <c r="P446" i="1" s="1"/>
  <c r="P448" i="1"/>
  <c r="O448" i="1"/>
  <c r="O450" i="1"/>
  <c r="P450" i="1" s="1"/>
  <c r="P452" i="1"/>
  <c r="O452" i="1"/>
  <c r="O454" i="1"/>
  <c r="P454" i="1" s="1"/>
  <c r="P456" i="1"/>
  <c r="O456" i="1"/>
  <c r="O458" i="1"/>
  <c r="P458" i="1" s="1"/>
  <c r="P460" i="1"/>
  <c r="O460" i="1"/>
  <c r="O462" i="1"/>
  <c r="P462" i="1" s="1"/>
  <c r="P464" i="1"/>
  <c r="O464" i="1"/>
  <c r="O466" i="1"/>
  <c r="P466" i="1" s="1"/>
  <c r="P468" i="1"/>
  <c r="O468" i="1"/>
  <c r="O470" i="1"/>
  <c r="P470" i="1" s="1"/>
  <c r="P472" i="1"/>
  <c r="O472" i="1"/>
  <c r="O474" i="1"/>
  <c r="P474" i="1" s="1"/>
  <c r="P476" i="1"/>
  <c r="O476" i="1"/>
  <c r="O478" i="1"/>
  <c r="P478" i="1" s="1"/>
  <c r="P480" i="1"/>
  <c r="O480" i="1"/>
  <c r="O482" i="1"/>
  <c r="P482" i="1" s="1"/>
  <c r="P484" i="1"/>
  <c r="O484" i="1"/>
  <c r="O486" i="1"/>
  <c r="P486" i="1" s="1"/>
  <c r="P488" i="1"/>
  <c r="O488" i="1"/>
  <c r="O490" i="1"/>
  <c r="P490" i="1" s="1"/>
  <c r="P492" i="1"/>
  <c r="O492" i="1"/>
  <c r="O494" i="1"/>
  <c r="P494" i="1" s="1"/>
  <c r="P496" i="1"/>
  <c r="O496" i="1"/>
  <c r="O498" i="1"/>
  <c r="P498" i="1" s="1"/>
  <c r="P250" i="1"/>
  <c r="P254" i="1"/>
  <c r="P258" i="1"/>
  <c r="P262" i="1"/>
  <c r="P266" i="1"/>
  <c r="P270" i="1"/>
  <c r="P274" i="1"/>
  <c r="P278" i="1"/>
  <c r="P282" i="1"/>
  <c r="P286" i="1"/>
  <c r="P290" i="1"/>
  <c r="P294" i="1"/>
  <c r="P298" i="1"/>
  <c r="P302" i="1"/>
  <c r="P306" i="1"/>
  <c r="P310" i="1"/>
  <c r="P314" i="1"/>
  <c r="P318" i="1"/>
  <c r="P322" i="1"/>
  <c r="O323" i="1"/>
  <c r="P323" i="1" s="1"/>
  <c r="P326" i="1"/>
  <c r="O327" i="1"/>
  <c r="P330" i="1"/>
  <c r="O331" i="1"/>
  <c r="P334" i="1"/>
  <c r="O335" i="1"/>
  <c r="P335" i="1" s="1"/>
  <c r="P338" i="1"/>
  <c r="O339" i="1"/>
  <c r="P339" i="1" s="1"/>
  <c r="P342" i="1"/>
  <c r="O343" i="1"/>
  <c r="P346" i="1"/>
  <c r="O347" i="1"/>
  <c r="P350" i="1"/>
  <c r="O351" i="1"/>
  <c r="P351" i="1" s="1"/>
  <c r="P354" i="1"/>
  <c r="O355" i="1"/>
  <c r="P355" i="1" s="1"/>
  <c r="P358" i="1"/>
  <c r="O359" i="1"/>
  <c r="P362" i="1"/>
  <c r="O363" i="1"/>
  <c r="P366" i="1"/>
  <c r="O367" i="1"/>
  <c r="P367" i="1" s="1"/>
  <c r="P370" i="1"/>
  <c r="O371" i="1"/>
  <c r="P371" i="1" s="1"/>
  <c r="P374" i="1"/>
  <c r="O375" i="1"/>
  <c r="P378" i="1"/>
  <c r="O379" i="1"/>
  <c r="P382" i="1"/>
  <c r="O383" i="1"/>
  <c r="P383" i="1" s="1"/>
  <c r="P386" i="1"/>
  <c r="O387" i="1"/>
  <c r="P387" i="1" s="1"/>
  <c r="P390" i="1"/>
  <c r="O391" i="1"/>
  <c r="P394" i="1"/>
  <c r="O395" i="1"/>
  <c r="P398" i="1"/>
  <c r="O399" i="1"/>
  <c r="P399" i="1" s="1"/>
  <c r="P402" i="1"/>
  <c r="O403" i="1"/>
  <c r="P403" i="1" s="1"/>
  <c r="P406" i="1"/>
  <c r="O407" i="1"/>
  <c r="P410" i="1"/>
  <c r="O411" i="1"/>
  <c r="P414" i="1"/>
  <c r="O415" i="1"/>
  <c r="P415" i="1" s="1"/>
  <c r="O500" i="1"/>
  <c r="P500" i="1"/>
  <c r="P501" i="1"/>
  <c r="N501" i="1"/>
  <c r="O501" i="1"/>
</calcChain>
</file>

<file path=xl/sharedStrings.xml><?xml version="1.0" encoding="utf-8"?>
<sst xmlns="http://schemas.openxmlformats.org/spreadsheetml/2006/main" count="3564" uniqueCount="583">
  <si>
    <t>Order ID</t>
  </si>
  <si>
    <t>Order Date</t>
  </si>
  <si>
    <t>Region</t>
  </si>
  <si>
    <t>Sales Rep</t>
  </si>
  <si>
    <t>Category</t>
  </si>
  <si>
    <t>Product</t>
  </si>
  <si>
    <t>Channel</t>
  </si>
  <si>
    <t>Quantity</t>
  </si>
  <si>
    <t>Unit Price</t>
  </si>
  <si>
    <t>Discount (%)</t>
  </si>
  <si>
    <t>Tax Rate (%)</t>
  </si>
  <si>
    <t>Status</t>
  </si>
  <si>
    <t>Revenue</t>
  </si>
  <si>
    <t>Discount Amt</t>
  </si>
  <si>
    <t>Tax Amt</t>
  </si>
  <si>
    <t>Net Revenue</t>
  </si>
  <si>
    <t>ORD-1001</t>
  </si>
  <si>
    <t>East</t>
  </si>
  <si>
    <t>Sneha Iyer</t>
  </si>
  <si>
    <t>Electronics</t>
  </si>
  <si>
    <t>Laptop</t>
  </si>
  <si>
    <t>Retail Store</t>
  </si>
  <si>
    <t>Completed</t>
  </si>
  <si>
    <t>ORD-1002</t>
  </si>
  <si>
    <t>West</t>
  </si>
  <si>
    <t>Arjun Sharma</t>
  </si>
  <si>
    <t>Smartwatch</t>
  </si>
  <si>
    <t>Online</t>
  </si>
  <si>
    <t>ORD-1003</t>
  </si>
  <si>
    <t>Sports</t>
  </si>
  <si>
    <t>Dumbbells</t>
  </si>
  <si>
    <t>Direct Sales</t>
  </si>
  <si>
    <t>Returned</t>
  </si>
  <si>
    <t>ORD-1004</t>
  </si>
  <si>
    <t>Rahul Mehta</t>
  </si>
  <si>
    <t>Food &amp; Beverages</t>
  </si>
  <si>
    <t>Protein Shake</t>
  </si>
  <si>
    <t>ORD-1005</t>
  </si>
  <si>
    <t>Furniture</t>
  </si>
  <si>
    <t>Wardrobe</t>
  </si>
  <si>
    <t>ORD-1006</t>
  </si>
  <si>
    <t>Cycling Helmet</t>
  </si>
  <si>
    <t>ORD-1007</t>
  </si>
  <si>
    <t>Vikram Nair</t>
  </si>
  <si>
    <t>Clothing</t>
  </si>
  <si>
    <t>T-Shirt</t>
  </si>
  <si>
    <t>ORD-1008</t>
  </si>
  <si>
    <t>South</t>
  </si>
  <si>
    <t>Sofa</t>
  </si>
  <si>
    <t>Pending</t>
  </si>
  <si>
    <t>ORD-1009</t>
  </si>
  <si>
    <t>ORD-1010</t>
  </si>
  <si>
    <t>Meera Joshi</t>
  </si>
  <si>
    <t>ORD-1011</t>
  </si>
  <si>
    <t>Aditya Kumar</t>
  </si>
  <si>
    <t>Wholesale</t>
  </si>
  <si>
    <t>ORD-1012</t>
  </si>
  <si>
    <t>Smartphone</t>
  </si>
  <si>
    <t>ORD-1013</t>
  </si>
  <si>
    <t>North</t>
  </si>
  <si>
    <t>Priya Patel</t>
  </si>
  <si>
    <t>ORD-1014</t>
  </si>
  <si>
    <t>Tablet</t>
  </si>
  <si>
    <t>ORD-1015</t>
  </si>
  <si>
    <t>Kavya Reddy</t>
  </si>
  <si>
    <t>Tennis Racket</t>
  </si>
  <si>
    <t>ORD-1016</t>
  </si>
  <si>
    <t>ORD-1017</t>
  </si>
  <si>
    <t>Juice Pack</t>
  </si>
  <si>
    <t>ORD-1018</t>
  </si>
  <si>
    <t>Office Chair</t>
  </si>
  <si>
    <t>ORD-1019</t>
  </si>
  <si>
    <t>ORD-1020</t>
  </si>
  <si>
    <t>ORD-1021</t>
  </si>
  <si>
    <t>Running Shoes</t>
  </si>
  <si>
    <t>ORD-1022</t>
  </si>
  <si>
    <t>Energy Bar</t>
  </si>
  <si>
    <t>ORD-1023</t>
  </si>
  <si>
    <t>Jeans</t>
  </si>
  <si>
    <t>ORD-1024</t>
  </si>
  <si>
    <t>Yoga Mat</t>
  </si>
  <si>
    <t>ORD-1025</t>
  </si>
  <si>
    <t>Coffee Beans</t>
  </si>
  <si>
    <t>ORD-1026</t>
  </si>
  <si>
    <t>ORD-1027</t>
  </si>
  <si>
    <t>ORD-1028</t>
  </si>
  <si>
    <t>ORD-1029</t>
  </si>
  <si>
    <t>ORD-1030</t>
  </si>
  <si>
    <t>Organic Tea</t>
  </si>
  <si>
    <t>ORD-1031</t>
  </si>
  <si>
    <t>ORD-1032</t>
  </si>
  <si>
    <t>Dress</t>
  </si>
  <si>
    <t>ORD-1033</t>
  </si>
  <si>
    <t>Jacket</t>
  </si>
  <si>
    <t>ORD-1034</t>
  </si>
  <si>
    <t>ORD-1035</t>
  </si>
  <si>
    <t>Dining Table</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</si>
  <si>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</si>
  <si>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</si>
  <si>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</si>
  <si>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</si>
  <si>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</si>
  <si>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</si>
  <si>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</si>
  <si>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</si>
  <si>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</si>
  <si>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</si>
  <si>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</si>
  <si>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</si>
  <si>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</si>
  <si>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</si>
  <si>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</si>
  <si>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</si>
  <si>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</si>
  <si>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</si>
  <si>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</si>
  <si>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</si>
  <si>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</si>
  <si>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</si>
  <si>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</si>
  <si>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</si>
  <si>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</si>
  <si>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</si>
  <si>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</si>
  <si>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</si>
  <si>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</si>
  <si>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</si>
  <si>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</si>
  <si>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</si>
  <si>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</si>
  <si>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</si>
  <si>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</si>
  <si>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</si>
  <si>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</si>
  <si>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</si>
  <si>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Bookshelf</t>
  </si>
  <si>
    <t>ORD-1074</t>
  </si>
  <si>
    <t>ORD-1075</t>
  </si>
  <si>
    <t>ORD-1076</t>
  </si>
  <si>
    <t>ORD-1077</t>
  </si>
  <si>
    <t>ORD-1078</t>
  </si>
  <si>
    <t>Sneakers</t>
  </si>
  <si>
    <t>ORD-1079</t>
  </si>
  <si>
    <t>ORD-1080</t>
  </si>
  <si>
    <t>ORD-1081</t>
  </si>
  <si>
    <t>ORD-1082</t>
  </si>
  <si>
    <t>ORD-1083</t>
  </si>
  <si>
    <t>ORD-1084</t>
  </si>
  <si>
    <t>ORD-1085</t>
  </si>
  <si>
    <t>ORD-1086</t>
  </si>
  <si>
    <t>ORD-1087</t>
  </si>
  <si>
    <t>ORD-1088</t>
  </si>
  <si>
    <t>ORD-1089</t>
  </si>
  <si>
    <t>ORD-1090</t>
  </si>
  <si>
    <t>ORD-1091</t>
  </si>
  <si>
    <t>ORD-1092</t>
  </si>
  <si>
    <t>ORD-1093</t>
  </si>
  <si>
    <t>Headphones</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</si>
  <si>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</si>
  <si>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</si>
  <si>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</si>
  <si>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</si>
  <si>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</si>
  <si>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</si>
  <si>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</si>
  <si>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</si>
  <si>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</si>
  <si>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</si>
  <si>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</si>
  <si>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</si>
  <si>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</si>
  <si>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</si>
  <si>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</si>
  <si>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</si>
  <si>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</si>
  <si>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</si>
  <si>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</si>
  <si>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</si>
  <si>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</si>
  <si>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</si>
  <si>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</si>
  <si>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</si>
  <si>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</si>
  <si>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</si>
  <si>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</si>
  <si>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</si>
  <si>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</si>
  <si>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</si>
  <si>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</si>
  <si>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</si>
  <si>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</si>
  <si>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</si>
  <si>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</si>
  <si>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</si>
  <si>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</si>
  <si>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</si>
  <si>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</si>
  <si>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</si>
  <si>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</si>
  <si>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</si>
  <si>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</si>
  <si>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</si>
  <si>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</si>
  <si>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</si>
  <si>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</si>
  <si>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</si>
  <si>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</si>
  <si>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</si>
  <si>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</si>
  <si>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</si>
  <si>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</si>
  <si>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</si>
  <si>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</si>
  <si>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</si>
  <si>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</si>
  <si>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</si>
  <si>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</si>
  <si>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</si>
  <si>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</si>
  <si>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</si>
  <si>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</si>
  <si>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</si>
  <si>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</si>
  <si>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</si>
  <si>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</si>
  <si>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</si>
  <si>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</si>
  <si>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</si>
  <si>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</si>
  <si>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</si>
  <si>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</si>
  <si>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</si>
  <si>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</si>
  <si>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</si>
  <si>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</si>
  <si>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</si>
  <si>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</si>
  <si>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</si>
  <si>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</si>
  <si>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</si>
  <si>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</si>
  <si>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</si>
  <si>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</si>
  <si>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</si>
  <si>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</si>
  <si>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</si>
  <si>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</si>
  <si>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</si>
  <si>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</si>
  <si>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</si>
  <si>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</si>
  <si>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</si>
  <si>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</si>
  <si>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</si>
  <si>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</si>
  <si>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</si>
  <si>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</si>
  <si>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</si>
  <si>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</si>
  <si>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</si>
  <si>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</si>
  <si>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</si>
  <si>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</si>
  <si>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</si>
  <si>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</si>
  <si>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</si>
  <si>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</si>
  <si>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</si>
  <si>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</si>
  <si>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</si>
  <si>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</si>
  <si>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</si>
  <si>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</si>
  <si>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</si>
  <si>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</si>
  <si>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</si>
  <si>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</si>
  <si>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</si>
  <si>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</si>
  <si>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</si>
  <si>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</si>
  <si>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</si>
  <si>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</si>
  <si>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</si>
  <si>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</si>
  <si>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</si>
  <si>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</si>
  <si>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</si>
  <si>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</si>
  <si>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</si>
  <si>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</si>
  <si>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</si>
  <si>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</si>
  <si>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</si>
  <si>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</si>
  <si>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</si>
  <si>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</si>
  <si>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</si>
  <si>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</si>
  <si>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</si>
  <si>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</si>
  <si>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</si>
  <si>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</si>
  <si>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</si>
  <si>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</si>
  <si>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</si>
  <si>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</si>
  <si>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</si>
  <si>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</si>
  <si>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</si>
  <si>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</si>
  <si>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</si>
  <si>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</si>
  <si>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</si>
  <si>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</si>
  <si>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</si>
  <si>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</si>
  <si>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</si>
  <si>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</si>
  <si>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</si>
  <si>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</si>
  <si>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</si>
  <si>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</si>
  <si>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</si>
  <si>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</si>
  <si>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</si>
  <si>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</si>
  <si>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</si>
  <si>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</si>
  <si>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</si>
  <si>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</si>
  <si>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</si>
  <si>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</si>
  <si>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</si>
  <si>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</si>
  <si>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</si>
  <si>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</si>
  <si>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</si>
  <si>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</si>
  <si>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</si>
  <si>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</si>
  <si>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</si>
  <si>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</si>
  <si>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</si>
  <si>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</si>
  <si>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</si>
  <si>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</si>
  <si>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</si>
  <si>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</si>
  <si>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</si>
  <si>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</si>
  <si>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</si>
  <si>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</si>
  <si>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</si>
  <si>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</si>
  <si>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</si>
  <si>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</si>
  <si>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</si>
  <si>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</si>
  <si>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</si>
  <si>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</si>
  <si>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</si>
  <si>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</si>
  <si>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</si>
  <si>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</si>
  <si>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</si>
  <si>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</si>
  <si>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</si>
  <si>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</si>
  <si>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</si>
  <si>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</si>
  <si>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</si>
  <si>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</si>
  <si>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</si>
  <si>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</si>
  <si>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</si>
  <si>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</si>
  <si>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</si>
  <si>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</si>
  <si>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</si>
  <si>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</si>
  <si>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</si>
  <si>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</si>
  <si>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</si>
  <si>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</si>
  <si>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</si>
  <si>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</si>
  <si>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</si>
  <si>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</si>
  <si>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</si>
  <si>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</si>
  <si>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</si>
  <si>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</si>
  <si>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</si>
  <si>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</si>
  <si>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</si>
  <si>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</si>
  <si>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</si>
  <si>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</si>
  <si>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</si>
  <si>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</si>
  <si>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</si>
  <si>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</si>
  <si>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</si>
  <si>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</si>
  <si>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</si>
  <si>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</si>
  <si>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</si>
  <si>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</si>
  <si>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</si>
  <si>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</si>
  <si>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</si>
  <si>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</si>
  <si>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</si>
  <si>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</si>
  <si>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</si>
  <si>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</si>
  <si>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</si>
  <si>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</si>
  <si>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</si>
  <si>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</si>
  <si>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</si>
  <si>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</si>
  <si>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</si>
  <si>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</si>
  <si>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</si>
  <si>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</si>
  <si>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</si>
  <si>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</si>
  <si>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</si>
  <si>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</si>
  <si>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</si>
  <si>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</si>
  <si>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</si>
  <si>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</si>
  <si>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</si>
  <si>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</si>
  <si>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</si>
  <si>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</si>
  <si>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</si>
  <si>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</si>
  <si>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</si>
  <si>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</si>
  <si>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</si>
  <si>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</si>
  <si>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</si>
  <si>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</si>
  <si>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</si>
  <si>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</si>
  <si>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</si>
  <si>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</si>
  <si>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</si>
  <si>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</si>
  <si>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</si>
  <si>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</si>
  <si>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</si>
  <si>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</si>
  <si>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</si>
  <si>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</si>
  <si>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</si>
  <si>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</si>
  <si>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</si>
  <si>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</si>
  <si>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</si>
  <si>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</si>
  <si>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</si>
  <si>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</si>
  <si>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</si>
  <si>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</si>
  <si>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</si>
  <si>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</si>
  <si>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</si>
  <si>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</si>
  <si>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</si>
  <si>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</si>
  <si>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</si>
  <si>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</si>
  <si>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</si>
  <si>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</si>
  <si>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</si>
  <si>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</si>
  <si>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</si>
  <si>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</si>
  <si>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</si>
  <si>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</si>
  <si>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</si>
  <si>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</si>
  <si>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</si>
  <si>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</si>
  <si>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</si>
  <si>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</si>
  <si>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</si>
  <si>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</si>
  <si>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</si>
  <si>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</si>
  <si>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</si>
  <si>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</si>
  <si>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</si>
  <si>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</si>
  <si>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</si>
  <si>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</si>
  <si>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</si>
  <si>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</si>
  <si>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</si>
  <si>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</si>
  <si>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</si>
  <si>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</si>
  <si>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</si>
  <si>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</si>
  <si>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</si>
  <si>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</si>
  <si>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</si>
  <si>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</si>
  <si>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</si>
  <si>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</si>
  <si>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</si>
  <si>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</si>
  <si>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</si>
  <si>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</si>
  <si>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</si>
  <si>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</si>
  <si>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</si>
  <si>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</si>
  <si>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</si>
  <si>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</si>
  <si>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</si>
  <si>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</si>
  <si>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</si>
  <si>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</si>
  <si>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</si>
  <si>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</si>
  <si>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</si>
  <si>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</si>
  <si>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</si>
  <si>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</si>
  <si>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</si>
  <si>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</si>
  <si>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</si>
  <si>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</si>
  <si>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</si>
  <si>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</si>
  <si>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</si>
  <si>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</si>
  <si>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</si>
  <si>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</si>
  <si>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</si>
  <si>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</si>
  <si>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</si>
  <si>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</si>
  <si>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</si>
  <si>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</si>
  <si>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</si>
  <si>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</si>
  <si>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</si>
  <si>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</si>
  <si>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</si>
  <si>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</si>
  <si>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</si>
  <si>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</si>
  <si>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</si>
  <si>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</si>
  <si>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</si>
  <si>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</si>
  <si>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</si>
  <si>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</si>
  <si>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Row Labels</t>
  </si>
  <si>
    <t>Sum of Revenue</t>
  </si>
  <si>
    <t>Grand Total</t>
  </si>
  <si>
    <t>Average of Revenue</t>
  </si>
  <si>
    <t>Sum of Net Revenue</t>
  </si>
  <si>
    <t>Net_Revenue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</si>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</sst>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
  </numFmts>
  <fonts count="3" x14ac:knownFonts="1">
    <font>
      <sz val="11"/>
      <color theme="1"/>
      <name val="Calibri"/>
      <family val="2"/>
      <charset val="1"/>
    </font>
    <font>
      <b/>
      <sz val="11"/>
      <color rgb="FFFFFFFF"/>
      <name val="Arial"/>
      <charset val="1"/>
    </font>
    <font>
      <sz val="10"/>
      <name val="Arial"/>
      <charset val="1"/>
    </font>
  </fonts>
  <fills count="4">
    <fill>
      <patternFill patternType="none"/>
    </fill>
    <fill>
      <patternFill patternType="gray125"/>
    </fill>
    <fill>
      <patternFill patternType="solid">
        <fgColor rgb="FF1F4E79"/>
        <bgColor rgb="FF003366"/>
      </patternFill>
    </fill>
    <fill>
      <patternFill patternType="solid">
        <fgColor rgb="FFEBF3FB"/>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[Sales_Dashboard_Data.xlsx]Sheet1!PivotTable2</c:name>
    <c:fmtId val="0"/>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alpha val="70000"/>
              </a:schemeClr>
            </a:solidFill>
            <a:ln>
              <a:noFill/>
            </a:ln>
            <a:effectLst/>
          </c:spPr>
          <c:invertIfNegative val="0"/>
          <c:cat>
            <c:strRef>
              <c:f>Sheet1!$A$4:$A$9</c:f>
              <c:strCache>
                <c:ptCount val="5"/>
                <c:pt idx="0">
                  <c:v>Clothing</c:v>
                </c:pt>
                <c:pt idx="1">
                  <c:v>Electronics</c:v>
                </c:pt>
                <c:pt idx="2">
                  <c:v>Food &amp; Beverages</c:v>
                </c:pt>
                <c:pt idx="3">
                  <c:v>Furniture</c:v>
                </c:pt>
                <c:pt idx="4">
                  <c:v>Sports</c:v>
                </c:pt>
              </c:strCache>
            </c:strRef>
          </c:cat>
          <c:val>
            <c:numRef>
              <c:f>Sheet1!$B$4:$B$9</c:f>
              <c:numCache>
                <c:formatCode>\₹#,##0.00</c:formatCode>
                <c:ptCount val="5"/>
                <c:pt idx="0">
                  <c:v>1957351.1000000006</c:v>
                </c:pt>
                <c:pt idx="1">
                  <c:v>2640343.2200000002</c:v>
                </c:pt>
                <c:pt idx="2">
                  <c:v>2895201.7799999984</c:v>
                </c:pt>
                <c:pt idx="3">
                  <c:v>2478730.29</c:v>
                </c:pt>
                <c:pt idx="4">
                  <c:v>2804437.2300000004</c:v>
                </c:pt>
              </c:numCache>
            </c:numRef>
          </c:val>
          <c:extLst>
            <c:ext xmlns:c16="http://schemas.microsoft.com/office/drawing/2014/chart" uri="{C3380CC4-5D6E-409C-BE32-E72D297353CC}">
              <c16:uniqueId val="{00000000-2ED9-4278-926B-451445CF060E}"/>
            </c:ext>
          </c:extLst>
        </c:ser>
        <c:dLbls>
          <c:showLegendKey val="0"/>
          <c:showVal val="0"/>
          <c:showCatName val="0"/>
          <c:showSerName val="0"/>
          <c:showPercent val="0"/>
          <c:showBubbleSize val="0"/>
        </c:dLbls>
        <c:gapWidth val="80"/>
        <c:overlap val="25"/>
        <c:axId val="1928495552"/>
        <c:axId val="1928494592"/>
      </c:barChart>
      <c:catAx>
        <c:axId val="192849555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928494592"/>
        <c:crosses val="autoZero"/>
        <c:auto val="1"/>
        <c:lblAlgn val="ctr"/>
        <c:lblOffset val="100"/>
        <c:noMultiLvlLbl val="0"/>
      </c:catAx>
      <c:valAx>
        <c:axId val="1928494592"/>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92849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Sheet1!$B$17</c:f>
              <c:strCache>
                <c:ptCount val="1"/>
                <c:pt idx="0">
                  <c:v>Total</c:v>
                </c:pt>
              </c:strCache>
            </c:strRef>
          </c:tx>
          <c:spPr>
            <a:solidFill>
              <a:schemeClr val="accent1"/>
            </a:solidFill>
            <a:ln>
              <a:noFill/>
            </a:ln>
            <a:effectLst/>
          </c:spPr>
          <c:invertIfNegative val="0"/>
          <c:cat>
            <c:strRef>
              <c:f>Sheet1!$A$18:$A$22</c:f>
              <c:strCache>
                <c:ptCount val="4"/>
                <c:pt idx="0">
                  <c:v>East</c:v>
                </c:pt>
                <c:pt idx="1">
                  <c:v>North</c:v>
                </c:pt>
                <c:pt idx="2">
                  <c:v>South</c:v>
                </c:pt>
                <c:pt idx="3">
                  <c:v>West</c:v>
                </c:pt>
              </c:strCache>
            </c:strRef>
          </c:cat>
          <c:val>
            <c:numRef>
              <c:f>Sheet1!$B$18:$B$22</c:f>
              <c:numCache>
                <c:formatCode>\₹#,##0.00</c:formatCode>
                <c:ptCount val="4"/>
                <c:pt idx="0">
                  <c:v>26168.5009923664</c:v>
                </c:pt>
                <c:pt idx="1">
                  <c:v>23701.137539682539</c:v>
                </c:pt>
                <c:pt idx="2">
                  <c:v>26835.723559322043</c:v>
                </c:pt>
                <c:pt idx="3">
                  <c:v>25560.250240000008</c:v>
                </c:pt>
              </c:numCache>
            </c:numRef>
          </c:val>
          <c:extLst>
            <c:ext xmlns:c16="http://schemas.microsoft.com/office/drawing/2014/chart" uri="{C3380CC4-5D6E-409C-BE32-E72D297353CC}">
              <c16:uniqueId val="{00000000-0D4E-4CA0-96F5-5B8EA97C543A}"/>
            </c:ext>
          </c:extLst>
        </c:ser>
        <c:dLbls>
          <c:showLegendKey val="0"/>
          <c:showVal val="0"/>
          <c:showCatName val="0"/>
          <c:showSerName val="0"/>
          <c:showPercent val="0"/>
          <c:showBubbleSize val="0"/>
        </c:dLbls>
        <c:gapWidth val="150"/>
        <c:overlap val="100"/>
        <c:axId val="1928510912"/>
        <c:axId val="1928511872"/>
      </c:barChart>
      <c:catAx>
        <c:axId val="192851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11872"/>
        <c:crosses val="autoZero"/>
        <c:auto val="1"/>
        <c:lblAlgn val="ctr"/>
        <c:lblOffset val="100"/>
        <c:noMultiLvlLbl val="0"/>
      </c:catAx>
      <c:valAx>
        <c:axId val="19285118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1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[Sales_Dashboard_Data.xlsx]Sheet1!PivotTable7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Sheet1!$O$3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Sheet1!$O$4:$O$16</c:f>
              <c:numCache>
                <c:formatCode>\₹#,##0.00</c:formatCode>
                <c:ptCount val="12"/>
                <c:pt idx="0">
                  <c:v>699296.19</c:v>
                </c:pt>
                <c:pt idx="1">
                  <c:v>1370928.7</c:v>
                </c:pt>
                <c:pt idx="2">
                  <c:v>1343981.9100000001</c:v>
                </c:pt>
                <c:pt idx="3">
                  <c:v>807109.87</c:v>
                </c:pt>
                <c:pt idx="4">
                  <c:v>1244699.7899999998</c:v>
                </c:pt>
                <c:pt idx="5">
                  <c:v>1024636.4799999999</c:v>
                </c:pt>
                <c:pt idx="6">
                  <c:v>1058107.68</c:v>
                </c:pt>
                <c:pt idx="7">
                  <c:v>944757.32999999984</c:v>
                </c:pt>
                <c:pt idx="8">
                  <c:v>765653.63000000012</c:v>
                </c:pt>
                <c:pt idx="9">
                  <c:v>1159841.5900000001</c:v>
                </c:pt>
                <c:pt idx="10">
                  <c:v>1013089.1300000001</c:v>
                </c:pt>
                <c:pt idx="11">
                  <c:v>1343961.3200000003</c:v>
                </c:pt>
              </c:numCache>
            </c:numRef>
          </c:val>
          <c:smooth val="0"/>
          <c:extLst>
            <c:ext xmlns:c16="http://schemas.microsoft.com/office/drawing/2014/chart" uri="{C3380CC4-5D6E-409C-BE32-E72D297353CC}">
              <c16:uniqueId val="{00000000-4D7B-474D-9D70-C5E0CCE009B9}"/>
            </c:ext>
          </c:extLst>
        </c:ser>
        <c:dLbls>
          <c:showLegendKey val="0"/>
          <c:showVal val="0"/>
          <c:showCatName val="0"/>
          <c:showSerName val="0"/>
          <c:showPercent val="0"/>
          <c:showBubbleSize val="0"/>
        </c:dLbls>
        <c:marker val="1"/>
        <c:smooth val="0"/>
        <c:axId val="1928544032"/>
        <c:axId val="1928556512"/>
      </c:lineChart>
      <c:catAx>
        <c:axId val="192854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56512"/>
        <c:crosses val="autoZero"/>
        <c:auto val="1"/>
        <c:lblAlgn val="ctr"/>
        <c:lblOffset val="100"/>
        <c:noMultiLvlLbl val="0"/>
      </c:catAx>
      <c:valAx>
        <c:axId val="192855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4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Sheet1!$P$19</c:f>
              <c:strCache>
                <c:ptCount val="1"/>
                <c:pt idx="0">
                  <c:v>Total</c:v>
                </c:pt>
              </c:strCache>
            </c:strRef>
          </c:tx>
          <c:spPr>
            <a:solidFill>
              <a:schemeClr val="accent1"/>
            </a:solidFill>
            <a:ln>
              <a:noFill/>
            </a:ln>
            <a:effectLst/>
          </c:spPr>
          <c:invertIfNegative val="0"/>
          <c:cat>
            <c:strRef>
              <c:f>Sheet1!$O$20:$O$28</c:f>
              <c:strCache>
                <c:ptCount val="8"/>
                <c:pt idx="0">
                  <c:v>Aditya Kumar</c:v>
                </c:pt>
                <c:pt idx="1">
                  <c:v>Arjun Sharma</c:v>
                </c:pt>
                <c:pt idx="2">
                  <c:v>Kavya Reddy</c:v>
                </c:pt>
                <c:pt idx="3">
                  <c:v>Meera Joshi</c:v>
                </c:pt>
                <c:pt idx="4">
                  <c:v>Priya Patel</c:v>
                </c:pt>
                <c:pt idx="5">
                  <c:v>Rahul Mehta</c:v>
                </c:pt>
                <c:pt idx="6">
                  <c:v>Sneha Iyer</c:v>
                </c:pt>
                <c:pt idx="7">
                  <c:v>Vikram Nair</c:v>
                </c:pt>
              </c:strCache>
            </c:strRef>
          </c:cat>
          <c:val>
            <c:numRef>
              <c:f>Sheet1!$P$20:$P$28</c:f>
              <c:numCache>
                <c:formatCode>\₹#,##0.00</c:formatCode>
                <c:ptCount val="8"/>
                <c:pt idx="0">
                  <c:v>1664413.5227099999</c:v>
                </c:pt>
                <c:pt idx="1">
                  <c:v>1733880.2637199999</c:v>
                </c:pt>
                <c:pt idx="2">
                  <c:v>1647397.87846</c:v>
                </c:pt>
                <c:pt idx="3">
                  <c:v>1700852.3864499996</c:v>
                </c:pt>
                <c:pt idx="4">
                  <c:v>1977048.1023300008</c:v>
                </c:pt>
                <c:pt idx="5">
                  <c:v>1434084.4681900004</c:v>
                </c:pt>
                <c:pt idx="6">
                  <c:v>1611368.58387</c:v>
                </c:pt>
                <c:pt idx="7">
                  <c:v>2094574.3582900001</c:v>
                </c:pt>
              </c:numCache>
            </c:numRef>
          </c:val>
          <c:extLst>
            <c:ext xmlns:c16="http://schemas.microsoft.com/office/drawing/2014/chart" uri="{C3380CC4-5D6E-409C-BE32-E72D297353CC}">
              <c16:uniqueId val="{00000000-3FFC-4E38-9D25-546FB56926D0}"/>
            </c:ext>
          </c:extLst>
        </c:ser>
        <c:dLbls>
          <c:showLegendKey val="0"/>
          <c:showVal val="0"/>
          <c:showCatName val="0"/>
          <c:showSerName val="0"/>
          <c:showPercent val="0"/>
          <c:showBubbleSize val="0"/>
        </c:dLbls>
        <c:gapWidth val="219"/>
        <c:overlap val="-27"/>
        <c:axId val="1928542592"/>
        <c:axId val="1928548352"/>
      </c:barChart>
      <c:catAx>
        <c:axId val="192854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48352"/>
        <c:crosses val="autoZero"/>
        <c:auto val="1"/>
        <c:lblAlgn val="ctr"/>
        <c:lblOffset val="100"/>
        <c:noMultiLvlLbl val="0"/>
      </c:catAx>
      <c:valAx>
        <c:axId val="1928548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4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[Sales_Dashboard_Data.xlsx]Sheet1!PivotTable9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Sheet1!$W$4</c:f>
              <c:strCache>
                <c:ptCount val="1"/>
                <c:pt idx="0">
                  <c:v>Total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Sheet1!$V$5:$V$9</c:f>
              <c:strCache>
                <c:ptCount val="4"/>
                <c:pt idx="0">
                  <c:v>Direct Sales</c:v>
                </c:pt>
                <c:pt idx="1">
                  <c:v>Online</c:v>
                </c:pt>
                <c:pt idx="2">
                  <c:v>Retail Store</c:v>
                </c:pt>
                <c:pt idx="3">
                  <c:v>Wholesale</c:v>
                </c:pt>
              </c:strCache>
            </c:strRef>
          </c:cat>
          <c:val>
            <c:numRef>
              <c:f>Sheet1!$W$5:$W$9</c:f>
              <c:numCache>
                <c:formatCode>\₹#,##0.00</c:formatCode>
                <c:ptCount val="4"/>
                <c:pt idx="0">
                  <c:v>3923700.9811400017</c:v>
                </c:pt>
                <c:pt idx="1">
                  <c:v>2880149.0734099997</c:v>
                </c:pt>
                <c:pt idx="2">
                  <c:v>3489266.5023899996</c:v>
                </c:pt>
                <c:pt idx="3">
                  <c:v>3570503.0070799971</c:v>
                </c:pt>
              </c:numCache>
            </c:numRef>
          </c:val>
          <c:extLst>
            <c:ext xmlns:c16="http://schemas.microsoft.com/office/drawing/2014/chart" uri="{C3380CC4-5D6E-409C-BE32-E72D297353CC}">
              <c16:uniqueId val="{00000000-3265-4ACA-B163-CC6F6FB4BE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[Sales_Dashboard_Data.xlsx]Sheet1!PivotTable2</c:name>
    <c:fmtId val="4"/>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Category</a:t>
            </a:r>
            <a:r>
              <a:rPr lang="en-US" baseline="0"/>
              <a:t> vs Net_Revenue</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alpha val="70000"/>
              </a:schemeClr>
            </a:solidFill>
            <a:ln>
              <a:noFill/>
            </a:ln>
            <a:effectLst/>
          </c:spPr>
          <c:invertIfNegative val="0"/>
          <c:cat>
            <c:strRef>
              <c:f>Sheet1!$A$4:$A$9</c:f>
              <c:strCache>
                <c:ptCount val="5"/>
                <c:pt idx="0">
                  <c:v>Clothing</c:v>
                </c:pt>
                <c:pt idx="1">
                  <c:v>Electronics</c:v>
                </c:pt>
                <c:pt idx="2">
                  <c:v>Food &amp; Beverages</c:v>
                </c:pt>
                <c:pt idx="3">
                  <c:v>Furniture</c:v>
                </c:pt>
                <c:pt idx="4">
                  <c:v>Sports</c:v>
                </c:pt>
              </c:strCache>
            </c:strRef>
          </c:cat>
          <c:val>
            <c:numRef>
              <c:f>Sheet1!$B$4:$B$9</c:f>
              <c:numCache>
                <c:formatCode>\₹#,##0.00</c:formatCode>
                <c:ptCount val="5"/>
                <c:pt idx="0">
                  <c:v>1957351.1000000006</c:v>
                </c:pt>
                <c:pt idx="1">
                  <c:v>2640343.2200000002</c:v>
                </c:pt>
                <c:pt idx="2">
                  <c:v>2895201.7799999984</c:v>
                </c:pt>
                <c:pt idx="3">
                  <c:v>2478730.29</c:v>
                </c:pt>
                <c:pt idx="4">
                  <c:v>2804437.2300000004</c:v>
                </c:pt>
              </c:numCache>
            </c:numRef>
          </c:val>
          <c:extLst>
            <c:ext xmlns:c16="http://schemas.microsoft.com/office/drawing/2014/chart" uri="{C3380CC4-5D6E-409C-BE32-E72D297353CC}">
              <c16:uniqueId val="{00000000-839F-40ED-AEBE-3BD2A0C4288C}"/>
            </c:ext>
          </c:extLst>
        </c:ser>
        <c:dLbls>
          <c:showLegendKey val="0"/>
          <c:showVal val="0"/>
          <c:showCatName val="0"/>
          <c:showSerName val="0"/>
          <c:showPercent val="0"/>
          <c:showBubbleSize val="0"/>
        </c:dLbls>
        <c:gapWidth val="80"/>
        <c:overlap val="25"/>
        <c:axId val="1928495552"/>
        <c:axId val="1928494592"/>
      </c:barChart>
      <c:catAx>
        <c:axId val="192849555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928494592"/>
        <c:crosses val="autoZero"/>
        <c:auto val="1"/>
        <c:lblAlgn val="ctr"/>
        <c:lblOffset val="100"/>
        <c:noMultiLvlLbl val="0"/>
      </c:catAx>
      <c:valAx>
        <c:axId val="1928494592"/>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92849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prstDash val="sysDot"/>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[Sales_Dashboard_Data.xlsx]Sheet1!PivotTable5</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Region</a:t>
            </a:r>
            <a:r>
              <a:rPr lang="en-US" baseline="0"/>
              <a:t> vs Revenue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Sheet1!$A$18:$A$22</c:f>
              <c:strCache>
                <c:ptCount val="4"/>
                <c:pt idx="0">
                  <c:v>East</c:v>
                </c:pt>
                <c:pt idx="1">
                  <c:v>North</c:v>
                </c:pt>
                <c:pt idx="2">
                  <c:v>South</c:v>
                </c:pt>
                <c:pt idx="3">
                  <c:v>West</c:v>
                </c:pt>
              </c:strCache>
            </c:strRef>
          </c:cat>
          <c:val>
            <c:numRef>
              <c:f>Sheet1!$B$18:$B$22</c:f>
              <c:numCache>
                <c:formatCode>\₹#,##0.00</c:formatCode>
                <c:ptCount val="4"/>
                <c:pt idx="0">
                  <c:v>26168.5009923664</c:v>
                </c:pt>
                <c:pt idx="1">
                  <c:v>23701.137539682539</c:v>
                </c:pt>
                <c:pt idx="2">
                  <c:v>26835.723559322043</c:v>
                </c:pt>
                <c:pt idx="3">
                  <c:v>25560.250240000008</c:v>
                </c:pt>
              </c:numCache>
            </c:numRef>
          </c:val>
          <c:extLst>
            <c:ext xmlns:c16="http://schemas.microsoft.com/office/drawing/2014/chart" uri="{C3380CC4-5D6E-409C-BE32-E72D297353CC}">
              <c16:uniqueId val="{00000000-9AF4-47E0-A1D9-B2C7A3707CA7}"/>
            </c:ext>
          </c:extLst>
        </c:ser>
        <c:dLbls>
          <c:dLblPos val="ctr"/>
          <c:showLegendKey val="0"/>
          <c:showVal val="1"/>
          <c:showCatName val="0"/>
          <c:showSerName val="0"/>
          <c:showPercent val="0"/>
          <c:showBubbleSize val="0"/>
        </c:dLbls>
        <c:gapWidth val="79"/>
        <c:overlap val="100"/>
        <c:axId val="1928510912"/>
        <c:axId val="1928511872"/>
      </c:barChart>
      <c:catAx>
        <c:axId val="192851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28511872"/>
        <c:crosses val="autoZero"/>
        <c:auto val="1"/>
        <c:lblAlgn val="ctr"/>
        <c:lblOffset val="100"/>
        <c:noMultiLvlLbl val="0"/>
      </c:catAx>
      <c:valAx>
        <c:axId val="1928511872"/>
        <c:scaling>
          <c:orientation val="minMax"/>
        </c:scaling>
        <c:delete val="1"/>
        <c:axPos val="b"/>
        <c:numFmt formatCode="\₹#,##0.00" sourceLinked="1"/>
        <c:majorTickMark val="none"/>
        <c:minorTickMark val="none"/>
        <c:tickLblPos val="nextTo"/>
        <c:crossAx val="192851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[Sales_Dashboard_Data.xlsx]Sheet1!PivotTable7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Sheet1!$O$3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Sheet1!$O$4:$O$16</c:f>
              <c:numCache>
                <c:formatCode>\₹#,##0.00</c:formatCode>
                <c:ptCount val="12"/>
                <c:pt idx="0">
                  <c:v>699296.19</c:v>
                </c:pt>
                <c:pt idx="1">
                  <c:v>1370928.7</c:v>
                </c:pt>
                <c:pt idx="2">
                  <c:v>1343981.9100000001</c:v>
                </c:pt>
                <c:pt idx="3">
                  <c:v>807109.87</c:v>
                </c:pt>
                <c:pt idx="4">
                  <c:v>1244699.7899999998</c:v>
                </c:pt>
                <c:pt idx="5">
                  <c:v>1024636.4799999999</c:v>
                </c:pt>
                <c:pt idx="6">
                  <c:v>1058107.68</c:v>
                </c:pt>
                <c:pt idx="7">
                  <c:v>944757.32999999984</c:v>
                </c:pt>
                <c:pt idx="8">
                  <c:v>765653.63000000012</c:v>
                </c:pt>
                <c:pt idx="9">
                  <c:v>1159841.5900000001</c:v>
                </c:pt>
                <c:pt idx="10">
                  <c:v>1013089.1300000001</c:v>
                </c:pt>
                <c:pt idx="11">
                  <c:v>1343961.3200000003</c:v>
                </c:pt>
              </c:numCache>
            </c:numRef>
          </c:val>
          <c:smooth val="0"/>
          <c:extLst>
            <c:ext xmlns:c16="http://schemas.microsoft.com/office/drawing/2014/chart" uri="{C3380CC4-5D6E-409C-BE32-E72D297353CC}">
              <c16:uniqueId val="{00000000-6517-4450-A840-18631B4448B9}"/>
            </c:ext>
          </c:extLst>
        </c:ser>
        <c:dLbls>
          <c:showLegendKey val="0"/>
          <c:showVal val="0"/>
          <c:showCatName val="0"/>
          <c:showSerName val="0"/>
          <c:showPercent val="0"/>
          <c:showBubbleSize val="0"/>
        </c:dLbls>
        <c:marker val="1"/>
        <c:smooth val="0"/>
        <c:axId val="1928544032"/>
        <c:axId val="1928556512"/>
      </c:lineChart>
      <c:catAx>
        <c:axId val="192854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56512"/>
        <c:crosses val="autoZero"/>
        <c:auto val="1"/>
        <c:lblAlgn val="ctr"/>
        <c:lblOffset val="100"/>
        <c:noMultiLvlLbl val="0"/>
      </c:catAx>
      <c:valAx>
        <c:axId val="1928556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54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60000"/>
          <a:lumOff val="4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[Sales_Dashboard_Data.xlsx]Sheet1!PivotTable8</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a:t>
            </a:r>
            <a:r>
              <a:rPr lang="en-US" baseline="0"/>
              <a:t> Rep vs Net_Revenue</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solidFill>
              <a:schemeClr val="accent1">
                <a:shade val="95000"/>
              </a:schemeClr>
            </a:solidFill>
            <a:round/>
          </a:ln>
          <a:effectLst/>
        </c:spPr>
        <c:marker>
          <c:symbol val="circle"/>
          <c:size val="4"/>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Sheet1!$P$19</c:f>
              <c:strCache>
                <c:ptCount val="1"/>
                <c:pt idx="0">
                  <c:v>Total</c:v>
                </c:pt>
              </c:strCache>
            </c:strRef>
          </c:tx>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solidFill>
                <a:schemeClr val="accent1">
                  <a:shade val="95000"/>
                </a:schemeClr>
              </a:solidFill>
              <a:round/>
            </a:ln>
            <a:effectLst/>
          </c:spPr>
          <c:invertIfNegative val="0"/>
          <c:cat>
            <c:strRef>
              <c:f>Sheet1!$O$20:$O$28</c:f>
              <c:strCache>
                <c:ptCount val="8"/>
                <c:pt idx="0">
                  <c:v>Aditya Kumar</c:v>
                </c:pt>
                <c:pt idx="1">
                  <c:v>Arjun Sharma</c:v>
                </c:pt>
                <c:pt idx="2">
                  <c:v>Kavya Reddy</c:v>
                </c:pt>
                <c:pt idx="3">
                  <c:v>Meera Joshi</c:v>
                </c:pt>
                <c:pt idx="4">
                  <c:v>Priya Patel</c:v>
                </c:pt>
                <c:pt idx="5">
                  <c:v>Rahul Mehta</c:v>
                </c:pt>
                <c:pt idx="6">
                  <c:v>Sneha Iyer</c:v>
                </c:pt>
                <c:pt idx="7">
                  <c:v>Vikram Nair</c:v>
                </c:pt>
              </c:strCache>
            </c:strRef>
          </c:cat>
          <c:val>
            <c:numRef>
              <c:f>Sheet1!$P$20:$P$28</c:f>
              <c:numCache>
                <c:formatCode>\₹#,##0.00</c:formatCode>
                <c:ptCount val="8"/>
                <c:pt idx="0">
                  <c:v>1664413.5227099999</c:v>
                </c:pt>
                <c:pt idx="1">
                  <c:v>1733880.2637199999</c:v>
                </c:pt>
                <c:pt idx="2">
                  <c:v>1647397.87846</c:v>
                </c:pt>
                <c:pt idx="3">
                  <c:v>1700852.3864499996</c:v>
                </c:pt>
                <c:pt idx="4">
                  <c:v>1977048.1023300008</c:v>
                </c:pt>
                <c:pt idx="5">
                  <c:v>1434084.4681900004</c:v>
                </c:pt>
                <c:pt idx="6">
                  <c:v>1611368.58387</c:v>
                </c:pt>
                <c:pt idx="7">
                  <c:v>2094574.3582900001</c:v>
                </c:pt>
              </c:numCache>
            </c:numRef>
          </c:val>
          <c:extLst>
            <c:ext xmlns:c16="http://schemas.microsoft.com/office/drawing/2014/chart" uri="{C3380CC4-5D6E-409C-BE32-E72D297353CC}">
              <c16:uniqueId val="{00000000-721B-4088-BF80-93947538B9C5}"/>
            </c:ext>
          </c:extLst>
        </c:ser>
        <c:dLbls>
          <c:showLegendKey val="0"/>
          <c:showVal val="0"/>
          <c:showCatName val="0"/>
          <c:showSerName val="0"/>
          <c:showPercent val="0"/>
          <c:showBubbleSize val="0"/>
        </c:dLbls>
        <c:gapWidth val="100"/>
        <c:overlap val="-24"/>
        <c:axId val="1928542592"/>
        <c:axId val="1928548352"/>
      </c:barChart>
      <c:catAx>
        <c:axId val="192854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28548352"/>
        <c:crosses val="autoZero"/>
        <c:auto val="1"/>
        <c:lblAlgn val="ctr"/>
        <c:lblOffset val="100"/>
        <c:noMultiLvlLbl val="0"/>
      </c:catAx>
      <c:valAx>
        <c:axId val="1928548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2854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[Sales_Dashboard_Data.xlsx]Sheet1!PivotTable9</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pieChart>
        <c:varyColors val="1"/>
        <c:ser>
          <c:idx val="0"/>
          <c:order val="0"/>
          <c:tx>
            <c:strRef>
              <c:f>Sheet1!$W$4</c:f>
              <c:strCache>
                <c:ptCount val="1"/>
                <c:pt idx="0">
                  <c:v>Total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A395-4378-8E83-E5626D62B986}"/>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A395-4378-8E83-E5626D62B986}"/>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5-A395-4378-8E83-E5626D62B986}"/>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07-A395-4378-8E83-E5626D62B9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Sheet1!$V$5:$V$9</c:f>
              <c:strCache>
                <c:ptCount val="4"/>
                <c:pt idx="0">
                  <c:v>Direct Sales</c:v>
                </c:pt>
                <c:pt idx="1">
                  <c:v>Online</c:v>
                </c:pt>
                <c:pt idx="2">
                  <c:v>Retail Store</c:v>
                </c:pt>
                <c:pt idx="3">
                  <c:v>Wholesale</c:v>
                </c:pt>
              </c:strCache>
            </c:strRef>
          </c:cat>
          <c:val>
            <c:numRef>
              <c:f>Sheet1!$W$5:$W$9</c:f>
              <c:numCache>
                <c:formatCode>\₹#,##0.00</c:formatCode>
                <c:ptCount val="4"/>
                <c:pt idx="0">
                  <c:v>3923700.9811400017</c:v>
                </c:pt>
                <c:pt idx="1">
                  <c:v>2880149.0734099997</c:v>
                </c:pt>
                <c:pt idx="2">
                  <c:v>3489266.5023899996</c:v>
                </c:pt>
                <c:pt idx="3">
                  <c:v>3570503.0070799971</c:v>
                </c:pt>
              </c:numCache>
            </c:numRef>
          </c:val>
          <c:extLst>
            <c:ext xmlns:c16="http://schemas.microsoft.com/office/drawing/2014/chart" uri="{C3380CC4-5D6E-409C-BE32-E72D297353CC}">
              <c16:uniqueId val="{00000008-A395-4378-8E83-E5626D62B98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161925</xdr:colOff>
      <xdr:row>1</xdr:row>
      <xdr:rowOff>57150</xdr:rowOff>
    </xdr:from>
    <xdr:to>
      <xdr:col>9</xdr:col>
      <xdr:colOff>133350</xdr:colOff>
      <xdr:row>13</xdr:row>
      <xdr:rowOff>157162</xdr:rowOff>
    </xdr:to>
    <xdr:graphicFrame macro="">
      <xdr:nvGraphicFramePr>
        <xdr:cNvPr id="2" name="Chart 1">
          <a:extLst>
            <a:ext uri="{FF2B5EF4-FFF2-40B4-BE49-F238E27FC236}">
              <a16:creationId xmlns:a16="http://schemas.microsoft.com/office/drawing/2014/main" id="{3E355A83-2F73-5C9E-6343-E0BC6AD04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247650</xdr:colOff>
      <xdr:row>1</xdr:row>
      <xdr:rowOff>66676</xdr:rowOff>
    </xdr:from>
    <xdr:to>
      <xdr:col>12</xdr:col>
      <xdr:colOff>76200</xdr:colOff>
      <xdr:row>11</xdr:row>
      <xdr:rowOff>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3239D479-D03C-F6E6-E9BA-870479C8631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67500" y="257176"/>
              <a:ext cx="1657350" cy="1838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14</xdr:row>
      <xdr:rowOff>9525</xdr:rowOff>
    </xdr:from>
    <xdr:to>
      <xdr:col>8</xdr:col>
      <xdr:colOff>485775</xdr:colOff>
      <xdr:row>23</xdr:row>
      <xdr:rowOff>185737</xdr:rowOff>
    </xdr:to>
    <xdr:graphicFrame macro="">
      <xdr:nvGraphicFramePr>
        <xdr:cNvPr id="4" name="Chart 3">
          <a:extLst>
            <a:ext uri="{FF2B5EF4-FFF2-40B4-BE49-F238E27FC236}">
              <a16:creationId xmlns:a16="http://schemas.microsoft.com/office/drawing/2014/main" id="{9CBBC906-3A9A-6342-8F7D-78643A3D4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276225</xdr:colOff>
      <xdr:row>13</xdr:row>
      <xdr:rowOff>123825</xdr:rowOff>
    </xdr:from>
    <xdr:to>
      <xdr:col>12</xdr:col>
      <xdr:colOff>200025</xdr:colOff>
      <xdr:row>21</xdr:row>
      <xdr:rowOff>38100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C987BD49-77EE-E6DB-5CDB-86C7331465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96075" y="2600325"/>
              <a:ext cx="17526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276225</xdr:colOff>
      <xdr:row>1</xdr:row>
      <xdr:rowOff>142874</xdr:rowOff>
    </xdr:from>
    <xdr:to>
      <xdr:col>20</xdr:col>
      <xdr:colOff>352425</xdr:colOff>
      <xdr:row>12</xdr:row>
      <xdr:rowOff>176211</xdr:rowOff>
    </xdr:to>
    <xdr:graphicFrame macro="">
      <xdr:nvGraphicFramePr>
        <xdr:cNvPr id="6" name="Chart 5">
          <a:extLst>
            <a:ext uri="{FF2B5EF4-FFF2-40B4-BE49-F238E27FC236}">
              <a16:creationId xmlns:a16="http://schemas.microsoft.com/office/drawing/2014/main" id="{E24D1739-7F9E-DAC2-E335-7BE7C03E3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180974</xdr:colOff>
      <xdr:row>15</xdr:row>
      <xdr:rowOff>176212</xdr:rowOff>
    </xdr:from>
    <xdr:to>
      <xdr:col>23</xdr:col>
      <xdr:colOff>38099</xdr:colOff>
      <xdr:row>27</xdr:row>
      <xdr:rowOff>161925</xdr:rowOff>
    </xdr:to>
    <xdr:graphicFrame macro="">
      <xdr:nvGraphicFramePr>
        <xdr:cNvPr id="7" name="Chart 6">
          <a:extLst>
            <a:ext uri="{FF2B5EF4-FFF2-40B4-BE49-F238E27FC236}">
              <a16:creationId xmlns:a16="http://schemas.microsoft.com/office/drawing/2014/main" id="{C6B0C8D8-3EA0-30AC-7491-CF5313E47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438150</xdr:colOff>
      <xdr:row>2</xdr:row>
      <xdr:rowOff>76200</xdr:rowOff>
    </xdr:from>
    <xdr:to>
      <xdr:col>28</xdr:col>
      <xdr:colOff>133350</xdr:colOff>
      <xdr:row>12</xdr:row>
      <xdr:rowOff>138112</xdr:rowOff>
    </xdr:to>
    <xdr:graphicFrame macro="">
      <xdr:nvGraphicFramePr>
        <xdr:cNvPr id="8" name="Chart 7">
          <a:extLst>
            <a:ext uri="{FF2B5EF4-FFF2-40B4-BE49-F238E27FC236}">
              <a16:creationId xmlns:a16="http://schemas.microsoft.com/office/drawing/2014/main" id="{076B13E0-8E7F-781A-2DE0-DB41A4858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1066802</xdr:colOff>
      <xdr:row>19</xdr:row>
      <xdr:rowOff>9524</xdr:rowOff>
    </xdr:from>
    <xdr:to>
      <xdr:col>4</xdr:col>
      <xdr:colOff>38102</xdr:colOff>
      <xdr:row>26</xdr:row>
      <xdr:rowOff>76199</xdr:rowOff>
    </xdr:to>
    <xdr:sp macro="" textlink="">
      <xdr:nvSpPr>
        <xdr:cNvPr id="14" name="Flowchart: Process 13">
          <a:extLst>
            <a:ext uri="{FF2B5EF4-FFF2-40B4-BE49-F238E27FC236}">
              <a16:creationId xmlns:a16="http://schemas.microsoft.com/office/drawing/2014/main" id="{E74F0E01-4682-73BF-6F46-B2116A704216}"/>
            </a:ext>
          </a:extLst>
        </xdr:cNvPr>
        <xdr:cNvSpPr/>
      </xdr:nvSpPr>
      <xdr:spPr>
        <a:xfrm rot="16200000">
          <a:off x="1976439" y="3595687"/>
          <a:ext cx="1400175" cy="1466850"/>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704849</xdr:colOff>
      <xdr:row>0</xdr:row>
      <xdr:rowOff>114300</xdr:rowOff>
    </xdr:from>
    <xdr:to>
      <xdr:col>20</xdr:col>
      <xdr:colOff>38100</xdr:colOff>
      <xdr:row>42</xdr:row>
      <xdr:rowOff>114300</xdr:rowOff>
    </xdr:to>
    <xdr:sp macro="" textlink="">
      <xdr:nvSpPr>
        <xdr:cNvPr id="3" name="Rectangle 2">
          <a:extLst>
            <a:ext uri="{FF2B5EF4-FFF2-40B4-BE49-F238E27FC236}">
              <a16:creationId xmlns:a16="http://schemas.microsoft.com/office/drawing/2014/main" id="{F7DB1B19-3027-5BAC-85BF-208BE5A2FE55}"/>
            </a:ext>
          </a:extLst>
        </xdr:cNvPr>
        <xdr:cNvSpPr/>
      </xdr:nvSpPr>
      <xdr:spPr>
        <a:xfrm>
          <a:off x="1581149" y="114300"/>
          <a:ext cx="11582401" cy="8001000"/>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409575</xdr:colOff>
      <xdr:row>2</xdr:row>
      <xdr:rowOff>19050</xdr:rowOff>
    </xdr:from>
    <xdr:to>
      <xdr:col>15</xdr:col>
      <xdr:colOff>47625</xdr:colOff>
      <xdr:row>4</xdr:row>
      <xdr:rowOff>161925</xdr:rowOff>
    </xdr:to>
    <xdr:sp macro="" textlink="">
      <xdr:nvSpPr>
        <xdr:cNvPr id="4" name="Rectangle: Rounded Corners 3">
          <a:extLst>
            <a:ext uri="{FF2B5EF4-FFF2-40B4-BE49-F238E27FC236}">
              <a16:creationId xmlns:a16="http://schemas.microsoft.com/office/drawing/2014/main" id="{08FA84A9-E544-F92B-B29B-0FCD18FCB24E}"/>
            </a:ext>
          </a:extLst>
        </xdr:cNvPr>
        <xdr:cNvSpPr/>
      </xdr:nvSpPr>
      <xdr:spPr>
        <a:xfrm>
          <a:off x="4391025" y="400050"/>
          <a:ext cx="5734050" cy="523875"/>
        </a:xfrm>
        <a:prstGeom prst="roundRect">
          <a:avLst/>
        </a:prstGeom>
        <a:effectLst>
          <a:innerShdw blurRad="63500" dist="50800" dir="162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3200"/>
            <a:t>             Sales DashBoard</a:t>
          </a:r>
        </a:p>
      </xdr:txBody>
    </xdr:sp>
    <xdr:clientData/>
  </xdr:twoCellAnchor>
  <xdr:twoCellAnchor>
    <xdr:from>
      <xdr:col>5</xdr:col>
      <xdr:colOff>66675</xdr:colOff>
      <xdr:row>8</xdr:row>
      <xdr:rowOff>57149</xdr:rowOff>
    </xdr:from>
    <xdr:to>
      <xdr:col>11</xdr:col>
      <xdr:colOff>123825</xdr:colOff>
      <xdr:row>18</xdr:row>
      <xdr:rowOff>123824</xdr:rowOff>
    </xdr:to>
    <xdr:sp macro="" textlink="">
      <xdr:nvSpPr>
        <xdr:cNvPr id="5" name="Rectangle 4">
          <a:extLst>
            <a:ext uri="{FF2B5EF4-FFF2-40B4-BE49-F238E27FC236}">
              <a16:creationId xmlns:a16="http://schemas.microsoft.com/office/drawing/2014/main" id="{5495E5A2-7DF9-6FF3-427D-D3CD8124ADC8}"/>
            </a:ext>
          </a:extLst>
        </xdr:cNvPr>
        <xdr:cNvSpPr/>
      </xdr:nvSpPr>
      <xdr:spPr>
        <a:xfrm>
          <a:off x="4048125" y="1581149"/>
          <a:ext cx="3714750" cy="19716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228600</xdr:colOff>
      <xdr:row>7</xdr:row>
      <xdr:rowOff>114300</xdr:rowOff>
    </xdr:from>
    <xdr:to>
      <xdr:col>18</xdr:col>
      <xdr:colOff>371475</xdr:colOff>
      <xdr:row>18</xdr:row>
      <xdr:rowOff>28574</xdr:rowOff>
    </xdr:to>
    <xdr:sp macro="" textlink="">
      <xdr:nvSpPr>
        <xdr:cNvPr id="6" name="Rectangle 5">
          <a:extLst>
            <a:ext uri="{FF2B5EF4-FFF2-40B4-BE49-F238E27FC236}">
              <a16:creationId xmlns:a16="http://schemas.microsoft.com/office/drawing/2014/main" id="{13B2DEA1-CF0A-46AC-9D3E-AF728DE59125}"/>
            </a:ext>
          </a:extLst>
        </xdr:cNvPr>
        <xdr:cNvSpPr/>
      </xdr:nvSpPr>
      <xdr:spPr>
        <a:xfrm>
          <a:off x="8477250" y="1447800"/>
          <a:ext cx="3800475" cy="20097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457199</xdr:colOff>
      <xdr:row>20</xdr:row>
      <xdr:rowOff>104775</xdr:rowOff>
    </xdr:from>
    <xdr:to>
      <xdr:col>11</xdr:col>
      <xdr:colOff>57150</xdr:colOff>
      <xdr:row>30</xdr:row>
      <xdr:rowOff>76201</xdr:rowOff>
    </xdr:to>
    <xdr:sp macro="" textlink="">
      <xdr:nvSpPr>
        <xdr:cNvPr id="7" name="Rectangle 6">
          <a:extLst>
            <a:ext uri="{FF2B5EF4-FFF2-40B4-BE49-F238E27FC236}">
              <a16:creationId xmlns:a16="http://schemas.microsoft.com/office/drawing/2014/main" id="{951E6C4E-0A7C-4253-88C7-753B497B17A3}"/>
            </a:ext>
          </a:extLst>
        </xdr:cNvPr>
        <xdr:cNvSpPr/>
      </xdr:nvSpPr>
      <xdr:spPr>
        <a:xfrm>
          <a:off x="3829049" y="3914775"/>
          <a:ext cx="3867151" cy="18764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47624</xdr:colOff>
      <xdr:row>20</xdr:row>
      <xdr:rowOff>180974</xdr:rowOff>
    </xdr:from>
    <xdr:to>
      <xdr:col>17</xdr:col>
      <xdr:colOff>171449</xdr:colOff>
      <xdr:row>29</xdr:row>
      <xdr:rowOff>190499</xdr:rowOff>
    </xdr:to>
    <xdr:sp macro="" textlink="">
      <xdr:nvSpPr>
        <xdr:cNvPr id="8" name="Rectangle 7">
          <a:extLst>
            <a:ext uri="{FF2B5EF4-FFF2-40B4-BE49-F238E27FC236}">
              <a16:creationId xmlns:a16="http://schemas.microsoft.com/office/drawing/2014/main" id="{52777BA4-4DCA-4193-858D-FD7683F45B33}"/>
            </a:ext>
          </a:extLst>
        </xdr:cNvPr>
        <xdr:cNvSpPr/>
      </xdr:nvSpPr>
      <xdr:spPr>
        <a:xfrm>
          <a:off x="8296274" y="3990974"/>
          <a:ext cx="3171825" cy="1724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1133475</xdr:colOff>
      <xdr:row>8</xdr:row>
      <xdr:rowOff>114299</xdr:rowOff>
    </xdr:from>
    <xdr:to>
      <xdr:col>3</xdr:col>
      <xdr:colOff>523875</xdr:colOff>
      <xdr:row>17</xdr:row>
      <xdr:rowOff>161924</xdr:rowOff>
    </xdr:to>
    <xdr:sp macro="" textlink="">
      <xdr:nvSpPr>
        <xdr:cNvPr id="9" name="Flowchart: Process 8">
          <a:extLst>
            <a:ext uri="{FF2B5EF4-FFF2-40B4-BE49-F238E27FC236}">
              <a16:creationId xmlns:a16="http://schemas.microsoft.com/office/drawing/2014/main" id="{CF299B8A-62B2-7255-A9ED-C40CAB51AB9F}"/>
            </a:ext>
          </a:extLst>
        </xdr:cNvPr>
        <xdr:cNvSpPr/>
      </xdr:nvSpPr>
      <xdr:spPr>
        <a:xfrm rot="5400000">
          <a:off x="1766887" y="1881187"/>
          <a:ext cx="1762125" cy="1276350"/>
        </a:xfrm>
        <a:prstGeom prst="flowChartProcess">
          <a:avLst/>
        </a:prstGeom>
        <a:ln>
          <a:solidFill>
            <a:schemeClr val="tx1"/>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1123951</xdr:colOff>
      <xdr:row>8</xdr:row>
      <xdr:rowOff>76199</xdr:rowOff>
    </xdr:from>
    <xdr:to>
      <xdr:col>3</xdr:col>
      <xdr:colOff>514351</xdr:colOff>
      <xdr:row>17</xdr:row>
      <xdr:rowOff>180974</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4052C2C4-F4B6-4CAF-823C-A90B5ED8F03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00251" y="1600199"/>
              <a:ext cx="1276350"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428626</xdr:colOff>
      <xdr:row>7</xdr:row>
      <xdr:rowOff>9525</xdr:rowOff>
    </xdr:from>
    <xdr:to>
      <xdr:col>11</xdr:col>
      <xdr:colOff>219076</xdr:colOff>
      <xdr:row>18</xdr:row>
      <xdr:rowOff>133350</xdr:rowOff>
    </xdr:to>
    <xdr:graphicFrame macro="">
      <xdr:nvGraphicFramePr>
        <xdr:cNvPr id="12" name="Chart 11">
          <a:extLst>
            <a:ext uri="{FF2B5EF4-FFF2-40B4-BE49-F238E27FC236}">
              <a16:creationId xmlns:a16="http://schemas.microsoft.com/office/drawing/2014/main" id="{32118E5A-A9C4-455A-9F3E-1321F2027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1028700</xdr:colOff>
      <xdr:row>19</xdr:row>
      <xdr:rowOff>95250</xdr:rowOff>
    </xdr:from>
    <xdr:to>
      <xdr:col>4</xdr:col>
      <xdr:colOff>285750</xdr:colOff>
      <xdr:row>27</xdr:row>
      <xdr:rowOff>9525</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E28F8497-C085-4D26-806C-E159A8C9CF9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05000" y="3714750"/>
              <a:ext cx="17526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419099</xdr:colOff>
      <xdr:row>20</xdr:row>
      <xdr:rowOff>95249</xdr:rowOff>
    </xdr:from>
    <xdr:to>
      <xdr:col>11</xdr:col>
      <xdr:colOff>180974</xdr:colOff>
      <xdr:row>30</xdr:row>
      <xdr:rowOff>104775</xdr:rowOff>
    </xdr:to>
    <xdr:graphicFrame macro="">
      <xdr:nvGraphicFramePr>
        <xdr:cNvPr id="15" name="Chart 14">
          <a:extLst>
            <a:ext uri="{FF2B5EF4-FFF2-40B4-BE49-F238E27FC236}">
              <a16:creationId xmlns:a16="http://schemas.microsoft.com/office/drawing/2014/main" id="{84347791-B747-40F9-9366-2442116ED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590550</xdr:colOff>
      <xdr:row>20</xdr:row>
      <xdr:rowOff>0</xdr:rowOff>
    </xdr:from>
    <xdr:to>
      <xdr:col>19</xdr:col>
      <xdr:colOff>114300</xdr:colOff>
      <xdr:row>30</xdr:row>
      <xdr:rowOff>76200</xdr:rowOff>
    </xdr:to>
    <xdr:graphicFrame macro="">
      <xdr:nvGraphicFramePr>
        <xdr:cNvPr id="16" name="Chart 15">
          <a:extLst>
            <a:ext uri="{FF2B5EF4-FFF2-40B4-BE49-F238E27FC236}">
              <a16:creationId xmlns:a16="http://schemas.microsoft.com/office/drawing/2014/main" id="{6EDA44D4-EF0B-4295-A743-2147FBCFB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571501</xdr:colOff>
      <xdr:row>7</xdr:row>
      <xdr:rowOff>19049</xdr:rowOff>
    </xdr:from>
    <xdr:to>
      <xdr:col>19</xdr:col>
      <xdr:colOff>133351</xdr:colOff>
      <xdr:row>18</xdr:row>
      <xdr:rowOff>28574</xdr:rowOff>
    </xdr:to>
    <xdr:graphicFrame macro="">
      <xdr:nvGraphicFramePr>
        <xdr:cNvPr id="17" name="Chart 16">
          <a:extLst>
            <a:ext uri="{FF2B5EF4-FFF2-40B4-BE49-F238E27FC236}">
              <a16:creationId xmlns:a16="http://schemas.microsoft.com/office/drawing/2014/main" id="{65DC39CB-1CE7-43A9-9576-36F7B213C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447675</xdr:colOff>
      <xdr:row>31</xdr:row>
      <xdr:rowOff>57150</xdr:rowOff>
    </xdr:from>
    <xdr:to>
      <xdr:col>9</xdr:col>
      <xdr:colOff>142875</xdr:colOff>
      <xdr:row>41</xdr:row>
      <xdr:rowOff>119062</xdr:rowOff>
    </xdr:to>
    <xdr:graphicFrame macro="">
      <xdr:nvGraphicFramePr>
        <xdr:cNvPr id="19" name="Chart 18">
          <a:extLst>
            <a:ext uri="{FF2B5EF4-FFF2-40B4-BE49-F238E27FC236}">
              <a16:creationId xmlns:a16="http://schemas.microsoft.com/office/drawing/2014/main" id="{CAB13CD3-1A76-460A-8EBD-BE7BB4960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h parchuru" refreshedDate="46181.265335532407" createdVersion="8" refreshedVersion="8" minRefreshableVersion="3" recordCount="500" xr:uid="{F0B3E55A-D0C6-42FE-BC0F-1418E31C2A35}">
  <cacheSource type="worksheet">
    <worksheetSource ref="A1:P501" sheet="Sales Data"/>
  </cacheSource>
  <cacheFields count="16">
    <cacheField name="Order ID" numFmtId="0">
      <sharedItems/>
    </cacheField>
    <cacheField name="Order Date" numFmtId="164">
      <sharedItems containsSemiMixedTypes="0" containsNonDate="0" containsDate="1" containsString="0" minDate="2024-01-01T00:00:00" maxDate="2024-12-31T00:00:00"/>
    </cacheField>
    <cacheField name="Region" numFmtId="0">
      <sharedItems/>
    </cacheField>
    <cacheField name="Sales Rep" numFmtId="0">
      <sharedItems/>
    </cacheField>
    <cacheField name="Category" numFmtId="0">
      <sharedItems count="5">
        <s v="Electronics"/>
        <s v="Sports"/>
        <s v="Food &amp; Beverages"/>
        <s v="Furniture"/>
        <s v="Clothing"/>
      </sharedItems>
    </cacheField>
    <cacheField name="Product" numFmtId="0">
      <sharedItems/>
    </cacheField>
    <cacheField name="Channel" numFmtId="0">
      <sharedItems/>
    </cacheField>
    <cacheField name="Quantity" numFmtId="0">
      <sharedItems containsSemiMixedTypes="0" containsString="0" containsNumber="1" containsInteger="1" minValue="1" maxValue="50"/>
    </cacheField>
    <cacheField name="Unit Price" numFmtId="165">
      <sharedItems containsSemiMixedTypes="0" containsString="0" containsNumber="1" minValue="17.059999999999999" maxValue="1994.35"/>
    </cacheField>
    <cacheField name="Discount (%)" numFmtId="0">
      <sharedItems containsSemiMixedTypes="0" containsString="0" containsNumber="1" containsInteger="1" minValue="0" maxValue="20"/>
    </cacheField>
    <cacheField name="Tax Rate (%)" numFmtId="0">
      <sharedItems containsSemiMixedTypes="0" containsString="0" containsNumber="1" containsInteger="1" minValue="18" maxValue="18"/>
    </cacheField>
    <cacheField name="Status" numFmtId="0">
      <sharedItems/>
    </cacheField>
    <cacheField name="Revenue" numFmtId="165">
      <sharedItems containsSemiMixedTypes="0" containsString="0" containsNumber="1" minValue="51.179999999999993" maxValue="94481.31"/>
    </cacheField>
    <cacheField name="Discount Amt" numFmtId="165">
      <sharedItems containsSemiMixedTypes="0" containsString="0" containsNumber="1" minValue="0" maxValue="17943.219999999998"/>
    </cacheField>
    <cacheField name="Tax Amt" numFmtId="165">
      <sharedItems containsSemiMixedTypes="0" containsString="0" containsNumber="1" minValue="9.2123999999999988" maxValue="16587.990000000002"/>
    </cacheField>
    <cacheField name="Net Revenue" numFmtId="165">
      <sharedItems containsSemiMixedTypes="0" containsString="0" containsNumber="1" minValue="60.392399999999995" maxValue="108743.49"/>
    </cacheField>
  </cacheFields>
  <extLst>
    <ext xmlns:x14="http://schemas.microsoft.com/office/spreadsheetml/2009/9/main" uri="{725AE2AE-9491-48be-B2B4-4EB974FC3084}">
      <x14:pivotCacheDefinition pivotCacheId="20247071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h parchuru" refreshedDate="46181.268408217591" createdVersion="8" refreshedVersion="8" minRefreshableVersion="3" recordCount="500" xr:uid="{85D4C2DE-56BC-47E6-86A9-9463A8A56E33}">
  <cacheSource type="worksheet">
    <worksheetSource ref="A1:P501" sheet="Sales Data"/>
  </cacheSource>
  <cacheFields count="18">
    <cacheField name="Order ID" numFmtId="0">
      <sharedItems/>
    </cacheField>
    <cacheField name="Order Date" numFmtId="164">
      <sharedItems containsSemiMixedTypes="0" containsNonDate="0" containsDate="1" containsString="0" minDate="2024-01-01T00:00:00" maxDate="2024-12-31T00:00:00" count="281">
        <d v="2024-10-06T00:00:00"/>
        <d v="2024-01-14T00:00:00"/>
        <d v="2024-03-22T00:00:00"/>
        <d v="2024-07-02T00:00:00"/>
        <d v="2024-02-10T00:00:00"/>
        <d v="2024-12-09T00:00:00"/>
        <d v="2024-12-18T00:00:00"/>
        <d v="2024-04-18T00:00:00"/>
        <d v="2024-10-14T00:00:00"/>
        <d v="2024-01-25T00:00:00"/>
        <d v="2024-09-27T00:00:00"/>
        <d v="2024-08-20T00:00:00"/>
        <d v="2024-03-23T00:00:00"/>
        <d v="2024-05-02T00:00:00"/>
        <d v="2024-03-06T00:00:00"/>
        <d v="2024-04-12T00:00:00"/>
        <d v="2024-01-11T00:00:00"/>
        <d v="2024-02-04T00:00:00"/>
        <d v="2024-10-19T00:00:00"/>
        <d v="2024-06-30T00:00:00"/>
        <d v="2024-05-07T00:00:00"/>
        <d v="2024-08-14T00:00:00"/>
        <d v="2024-04-19T00:00:00"/>
        <d v="2024-05-26T00:00:00"/>
        <d v="2024-10-04T00:00:00"/>
        <d v="2024-02-11T00:00:00"/>
        <d v="2024-01-21T00:00:00"/>
        <d v="2024-05-15T00:00:00"/>
        <d v="2024-02-21T00:00:00"/>
        <d v="2024-05-25T00:00:00"/>
        <d v="2024-10-10T00:00:00"/>
        <d v="2024-09-15T00:00:00"/>
        <d v="2024-11-22T00:00:00"/>
        <d v="2024-03-17T00:00:00"/>
        <d v="2024-03-24T00:00:00"/>
        <d v="2024-05-16T00:00:00"/>
        <d v="2024-06-28T00:00:00"/>
        <d v="2024-05-22T00:00:00"/>
        <d v="2024-01-20T00:00:00"/>
        <d v="2024-07-16T00:00:00"/>
        <d v="2024-12-17T00:00:00"/>
        <d v="2024-06-02T00:00:00"/>
        <d v="2024-12-06T00:00:00"/>
        <d v="2024-11-06T00:00:00"/>
        <d v="2024-03-27T00:00:00"/>
        <d v="2024-01-13T00:00:00"/>
        <d v="2024-12-22T00:00:00"/>
        <d v="2024-08-05T00:00:00"/>
        <d v="2024-12-07T00:00:00"/>
        <d v="2024-08-31T00:00:00"/>
        <d v="2024-03-19T00:00:00"/>
        <d v="2024-08-03T00:00:00"/>
        <d v="2024-08-02T00:00:00"/>
        <d v="2024-06-21T00:00:00"/>
        <d v="2024-02-12T00:00:00"/>
        <d v="2024-06-16T00:00:00"/>
        <d v="2024-01-27T00:00:00"/>
        <d v="2024-03-26T00:00:00"/>
        <d v="2024-10-21T00:00:00"/>
        <d v="2024-11-03T00:00:00"/>
        <d v="2024-01-07T00:00:00"/>
        <d v="2024-09-24T00:00:00"/>
        <d v="2024-02-14T00:00:00"/>
        <d v="2024-04-03T00:00:00"/>
        <d v="2024-10-11T00:00:00"/>
        <d v="2024-12-19T00:00:00"/>
        <d v="2024-06-05T00:00:00"/>
        <d v="2024-05-18T00:00:00"/>
        <d v="2024-04-04T00:00:00"/>
        <d v="2024-04-01T00:00:00"/>
        <d v="2024-05-09T00:00:00"/>
        <d v="2024-03-18T00:00:00"/>
        <d v="2024-11-01T00:00:00"/>
        <d v="2024-10-18T00:00:00"/>
        <d v="2024-03-29T00:00:00"/>
        <d v="2024-01-17T00:00:00"/>
        <d v="2024-10-28T00:00:00"/>
        <d v="2024-06-06T00:00:00"/>
        <d v="2024-05-19T00:00:00"/>
        <d v="2024-06-14T00:00:00"/>
        <d v="2024-05-17T00:00:00"/>
        <d v="2024-11-21T00:00:00"/>
        <d v="2024-06-17T00:00:00"/>
        <d v="2024-02-29T00:00:00"/>
        <d v="2024-09-12T00:00:00"/>
        <d v="2024-03-03T00:00:00"/>
        <d v="2024-04-25T00:00:00"/>
        <d v="2024-09-04T00:00:00"/>
        <d v="2024-02-05T00:00:00"/>
        <d v="2024-10-23T00:00:00"/>
        <d v="2024-08-21T00:00:00"/>
        <d v="2024-12-27T00:00:00"/>
        <d v="2024-08-28T00:00:00"/>
        <d v="2024-09-06T00:00:00"/>
        <d v="2024-11-20T00:00:00"/>
        <d v="2024-03-30T00:00:00"/>
        <d v="2024-05-10T00:00:00"/>
        <d v="2024-10-27T00:00:00"/>
        <d v="2024-05-01T00:00:00"/>
        <d v="2024-10-16T00:00:00"/>
        <d v="2024-11-13T00:00:00"/>
        <d v="2024-03-08T00:00:00"/>
        <d v="2024-09-28T00:00:00"/>
        <d v="2024-08-27T00:00:00"/>
        <d v="2024-03-04T00:00:00"/>
        <d v="2024-01-24T00:00:00"/>
        <d v="2024-07-08T00:00:00"/>
        <d v="2024-10-05T00:00:00"/>
        <d v="2024-11-24T00:00:00"/>
        <d v="2024-04-16T00:00:00"/>
        <d v="2024-03-07T00:00:00"/>
        <d v="2024-02-02T00:00:00"/>
        <d v="2024-12-03T00:00:00"/>
        <d v="2024-09-08T00:00:00"/>
        <d v="2024-10-26T00:00:00"/>
        <d v="2024-02-28T00:00:00"/>
        <d v="2024-07-31T00:00:00"/>
        <d v="2024-12-11T00:00:00"/>
        <d v="2024-02-16T00:00:00"/>
        <d v="2024-06-15T00:00:00"/>
        <d v="2024-07-21T00:00:00"/>
        <d v="2024-05-28T00:00:00"/>
        <d v="2024-04-27T00:00:00"/>
        <d v="2024-06-09T00:00:00"/>
        <d v="2024-03-28T00:00:00"/>
        <d v="2024-09-25T00:00:00"/>
        <d v="2024-04-11T00:00:00"/>
        <d v="2024-08-17T00:00:00"/>
        <d v="2024-06-04T00:00:00"/>
        <d v="2024-07-07T00:00:00"/>
        <d v="2024-01-22T00:00:00"/>
        <d v="2024-02-22T00:00:00"/>
        <d v="2024-11-27T00:00:00"/>
        <d v="2024-11-04T00:00:00"/>
        <d v="2024-12-16T00:00:00"/>
        <d v="2024-06-23T00:00:00"/>
        <d v="2024-09-16T00:00:00"/>
        <d v="2024-12-20T00:00:00"/>
        <d v="2024-11-08T00:00:00"/>
        <d v="2024-08-13T00:00:00"/>
        <d v="2024-09-19T00:00:00"/>
        <d v="2024-09-14T00:00:00"/>
        <d v="2024-11-28T00:00:00"/>
        <d v="2024-11-07T00:00:00"/>
        <d v="2024-11-23T00:00:00"/>
        <d v="2024-04-05T00:00:00"/>
        <d v="2024-07-10T00:00:00"/>
        <d v="2024-10-24T00:00:00"/>
        <d v="2024-09-02T00:00:00"/>
        <d v="2024-07-01T00:00:00"/>
        <d v="2024-06-22T00:00:00"/>
        <d v="2024-08-16T00:00:00"/>
        <d v="2024-11-10T00:00:00"/>
        <d v="2024-07-04T00:00:00"/>
        <d v="2024-10-20T00:00:00"/>
        <d v="2024-07-03T00:00:00"/>
        <d v="2024-12-14T00:00:00"/>
        <d v="2024-03-21T00:00:00"/>
        <d v="2024-06-12T00:00:00"/>
        <d v="2024-08-18T00:00:00"/>
        <d v="2024-09-11T00:00:00"/>
        <d v="2024-05-24T00:00:00"/>
        <d v="2024-07-06T00:00:00"/>
        <d v="2024-05-27T00:00:00"/>
        <d v="2024-10-12T00:00:00"/>
        <d v="2024-08-30T00:00:00"/>
        <d v="2024-08-01T00:00:00"/>
        <d v="2024-10-25T00:00:00"/>
        <d v="2024-04-07T00:00:00"/>
        <d v="2024-11-09T00:00:00"/>
        <d v="2024-08-23T00:00:00"/>
        <d v="2024-05-20T00:00:00"/>
        <d v="2024-01-03T00:00:00"/>
        <d v="2024-07-22T00:00:00"/>
        <d v="2024-09-01T00:00:00"/>
        <d v="2024-06-03T00:00:00"/>
        <d v="2024-01-30T00:00:00"/>
        <d v="2024-02-07T00:00:00"/>
        <d v="2024-04-02T00:00:00"/>
        <d v="2024-10-03T00:00:00"/>
        <d v="2024-01-02T00:00:00"/>
        <d v="2024-05-21T00:00:00"/>
        <d v="2024-01-18T00:00:00"/>
        <d v="2024-01-29T00:00:00"/>
        <d v="2024-07-28T00:00:00"/>
        <d v="2024-03-14T00:00:00"/>
        <d v="2024-07-13T00:00:00"/>
        <d v="2024-02-20T00:00:00"/>
        <d v="2024-03-15T00:00:00"/>
        <d v="2024-05-05T00:00:00"/>
        <d v="2024-12-08T00:00:00"/>
        <d v="2024-02-24T00:00:00"/>
        <d v="2024-01-05T00:00:00"/>
        <d v="2024-10-15T00:00:00"/>
        <d v="2024-03-12T00:00:00"/>
        <d v="2024-11-05T00:00:00"/>
        <d v="2024-11-02T00:00:00"/>
        <d v="2024-05-04T00:00:00"/>
        <d v="2024-05-08T00:00:00"/>
        <d v="2024-06-19T00:00:00"/>
        <d v="2024-12-21T00:00:00"/>
        <d v="2024-07-12T00:00:00"/>
        <d v="2024-12-25T00:00:00"/>
        <d v="2024-09-22T00:00:00"/>
        <d v="2024-02-19T00:00:00"/>
        <d v="2024-04-28T00:00:00"/>
        <d v="2024-10-22T00:00:00"/>
        <d v="2024-09-07T00:00:00"/>
        <d v="2024-11-30T00:00:00"/>
        <d v="2024-04-22T00:00:00"/>
        <d v="2024-09-10T00:00:00"/>
        <d v="2024-05-29T00:00:00"/>
        <d v="2024-03-05T00:00:00"/>
        <d v="2024-01-09T00:00:00"/>
        <d v="2024-03-25T00:00:00"/>
        <d v="2024-08-04T00:00:00"/>
        <d v="2024-07-19T00:00:00"/>
        <d v="2024-02-06T00:00:00"/>
        <d v="2024-12-15T00:00:00"/>
        <d v="2024-01-06T00:00:00"/>
        <d v="2024-03-01T00:00:00"/>
        <d v="2024-02-09T00:00:00"/>
        <d v="2024-07-15T00:00:00"/>
        <d v="2024-07-24T00:00:00"/>
        <d v="2024-08-22T00:00:00"/>
        <d v="2024-12-05T00:00:00"/>
        <d v="2024-06-11T00:00:00"/>
        <d v="2024-03-20T00:00:00"/>
        <d v="2024-08-19T00:00:00"/>
        <d v="2024-10-08T00:00:00"/>
        <d v="2024-11-26T00:00:00"/>
        <d v="2024-08-09T00:00:00"/>
        <d v="2024-09-30T00:00:00"/>
        <d v="2024-12-23T00:00:00"/>
        <d v="2024-09-26T00:00:00"/>
        <d v="2024-01-31T00:00:00"/>
        <d v="2024-07-30T00:00:00"/>
        <d v="2024-11-16T00:00:00"/>
        <d v="2024-12-24T00:00:00"/>
        <d v="2024-07-09T00:00:00"/>
        <d v="2024-03-09T00:00:00"/>
        <d v="2024-03-10T00:00:00"/>
        <d v="2024-01-26T00:00:00"/>
        <d v="2024-06-25T00:00:00"/>
        <d v="2024-12-30T00:00:00"/>
        <d v="2024-09-23T00:00:00"/>
        <d v="2024-06-01T00:00:00"/>
        <d v="2024-11-29T00:00:00"/>
        <d v="2024-12-28T00:00:00"/>
        <d v="2024-12-02T00:00:00"/>
        <d v="2024-01-10T00:00:00"/>
        <d v="2024-04-15T00:00:00"/>
        <d v="2024-02-23T00:00:00"/>
        <d v="2024-05-14T00:00:00"/>
        <d v="2024-09-09T00:00:00"/>
        <d v="2024-08-06T00:00:00"/>
        <d v="2024-11-14T00:00:00"/>
        <d v="2024-01-15T00:00:00"/>
        <d v="2024-06-26T00:00:00"/>
        <d v="2024-02-08T00:00:00"/>
        <d v="2024-01-01T00:00:00"/>
        <d v="2024-03-11T00:00:00"/>
        <d v="2024-01-28T00:00:00"/>
        <d v="2024-05-31T00:00:00"/>
        <d v="2024-07-26T00:00:00"/>
        <d v="2024-04-09T00:00:00"/>
        <d v="2024-06-10T00:00:00"/>
        <d v="2024-10-09T00:00:00"/>
        <d v="2024-08-29T00:00:00"/>
        <d v="2024-05-23T00:00:00"/>
        <d v="2024-07-29T00:00:00"/>
        <d v="2024-03-16T00:00:00"/>
        <d v="2024-12-04T00:00:00"/>
        <d v="2024-10-01T00:00:00"/>
        <d v="2024-08-10T00:00:00"/>
        <d v="2024-12-26T00:00:00"/>
        <d v="2024-12-12T00:00:00"/>
        <d v="2024-12-10T00:00:00"/>
        <d v="2024-11-12T00:00:00"/>
        <d v="2024-07-20T00:00:00"/>
        <d v="2024-07-05T00:00:00"/>
      </sharedItems>
      <fieldGroup par="17"/>
    </cacheField>
    <cacheField name="Region" numFmtId="0">
      <sharedItems count="4">
        <s v="East"/>
        <s v="West"/>
        <s v="South"/>
        <s v="North"/>
      </sharedItems>
    </cacheField>
    <cacheField name="Sales Rep" numFmtId="0">
      <sharedItems count="8">
        <s v="Sneha Iyer"/>
        <s v="Arjun Sharma"/>
        <s v="Rahul Mehta"/>
        <s v="Vikram Nair"/>
        <s v="Meera Joshi"/>
        <s v="Aditya Kumar"/>
        <s v="Priya Patel"/>
        <s v="Kavya Reddy"/>
      </sharedItems>
    </cacheField>
    <cacheField name="Category" numFmtId="0">
      <sharedItems/>
    </cacheField>
    <cacheField name="Product" numFmtId="0">
      <sharedItems/>
    </cacheField>
    <cacheField name="Channel" numFmtId="0">
      <sharedItems count="4">
        <s v="Retail Store"/>
        <s v="Online"/>
        <s v="Direct Sales"/>
        <s v="Wholesale"/>
      </sharedItems>
    </cacheField>
    <cacheField name="Quantity" numFmtId="0">
      <sharedItems containsSemiMixedTypes="0" containsString="0" containsNumber="1" containsInteger="1" minValue="1" maxValue="50"/>
    </cacheField>
    <cacheField name="Unit Price" numFmtId="165">
      <sharedItems containsSemiMixedTypes="0" containsString="0" containsNumber="1" minValue="17.059999999999999" maxValue="1994.35"/>
    </cacheField>
    <cacheField name="Discount (%)" numFmtId="0">
      <sharedItems containsSemiMixedTypes="0" containsString="0" containsNumber="1" containsInteger="1" minValue="0" maxValue="20"/>
    </cacheField>
    <cacheField name="Tax Rate (%)" numFmtId="0">
      <sharedItems containsSemiMixedTypes="0" containsString="0" containsNumber="1" containsInteger="1" minValue="18" maxValue="18"/>
    </cacheField>
    <cacheField name="Status" numFmtId="0">
      <sharedItems/>
    </cacheField>
    <cacheField name="Revenue" numFmtId="165">
      <sharedItems containsSemiMixedTypes="0" containsString="0" containsNumber="1" minValue="51.179999999999993" maxValue="94481.31"/>
    </cacheField>
    <cacheField name="Discount Amt" numFmtId="165">
      <sharedItems containsSemiMixedTypes="0" containsString="0" containsNumber="1" minValue="0" maxValue="17943.219999999998"/>
    </cacheField>
    <cacheField name="Tax Amt" numFmtId="165">
      <sharedItems containsSemiMixedTypes="0" containsString="0" containsNumber="1" minValue="9.2123999999999988" maxValue="16587.990000000002"/>
    </cacheField>
    <cacheField name="Net Revenue" numFmtId="165">
      <sharedItems containsSemiMixedTypes="0" containsString="0" containsNumber="1" minValue="60.392399999999995" maxValue="108743.49"/>
    </cacheField>
    <cacheField name="Days (Order Date)" numFmtId="0" databaseField="0">
      <fieldGroup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Order Date)" numFmtId="0" databaseField="0">
      <fieldGroup base="1">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1393295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1"/>
    <d v="2024-10-06T00:00:00"/>
    <s v="East"/>
    <s v="Sneha Iyer"/>
    <x v="0"/>
    <s v="Laptop"/>
    <s v="Retail Store"/>
    <n v="48"/>
    <n v="213.97"/>
    <n v="20"/>
    <n v="18"/>
    <s v="Completed"/>
    <n v="10270.56"/>
    <n v="2054.1119999999996"/>
    <n v="1478.9606400000002"/>
    <n v="9695.4086400000015"/>
  </r>
  <r>
    <s v="ORD-1002"/>
    <d v="2024-01-14T00:00:00"/>
    <s v="West"/>
    <s v="Arjun Sharma"/>
    <x v="0"/>
    <s v="Smartwatch"/>
    <s v="Online"/>
    <n v="14"/>
    <n v="473"/>
    <n v="15"/>
    <n v="18"/>
    <s v="Completed"/>
    <n v="6622"/>
    <n v="993.3"/>
    <n v="1013.1659999999999"/>
    <n v="6641.866"/>
  </r>
  <r>
    <s v="ORD-1003"/>
    <d v="2024-03-22T00:00:00"/>
    <s v="West"/>
    <s v="Sneha Iyer"/>
    <x v="1"/>
    <s v="Dumbbells"/>
    <s v="Direct Sales"/>
    <n v="18"/>
    <n v="1620.77"/>
    <n v="0"/>
    <n v="18"/>
    <s v="Returned"/>
    <n v="29173.86"/>
    <n v="0"/>
    <n v="5251.2947999999997"/>
    <n v="34425.154800000004"/>
  </r>
  <r>
    <s v="ORD-1004"/>
    <d v="2024-07-02T00:00:00"/>
    <s v="East"/>
    <s v="Rahul Mehta"/>
    <x v="2"/>
    <s v="Protein Shake"/>
    <s v="Retail Store"/>
    <n v="7"/>
    <n v="194.56"/>
    <n v="0"/>
    <n v="18"/>
    <s v="Completed"/>
    <n v="1361.92"/>
    <n v="0"/>
    <n v="245.1456"/>
    <n v="1607.0656000000001"/>
  </r>
  <r>
    <s v="ORD-1005"/>
    <d v="2024-02-10T00:00:00"/>
    <s v="East"/>
    <s v="Arjun Sharma"/>
    <x v="3"/>
    <s v="Wardrobe"/>
    <s v="Direct Sales"/>
    <n v="8"/>
    <n v="1946.5"/>
    <n v="10"/>
    <n v="18"/>
    <s v="Returned"/>
    <n v="15572"/>
    <n v="1557.2"/>
    <n v="2522.6639999999998"/>
    <n v="16537.464"/>
  </r>
  <r>
    <s v="ORD-1006"/>
    <d v="2024-02-10T00:00:00"/>
    <s v="East"/>
    <s v="Sneha Iyer"/>
    <x v="1"/>
    <s v="Cycling Helmet"/>
    <s v="Online"/>
    <n v="43"/>
    <n v="463.52"/>
    <n v="5"/>
    <n v="18"/>
    <s v="Completed"/>
    <n v="19931.36"/>
    <n v="996.56799999999998"/>
    <n v="3408.2625600000006"/>
    <n v="22343.05456"/>
  </r>
  <r>
    <s v="ORD-1007"/>
    <d v="2024-12-09T00:00:00"/>
    <s v="West"/>
    <s v="Vikram Nair"/>
    <x v="4"/>
    <s v="T-Shirt"/>
    <s v="Direct Sales"/>
    <n v="11"/>
    <n v="746.66"/>
    <n v="0"/>
    <n v="18"/>
    <s v="Completed"/>
    <n v="8213.26"/>
    <n v="0"/>
    <n v="1478.3868"/>
    <n v="9691.6468000000004"/>
  </r>
  <r>
    <s v="ORD-1008"/>
    <d v="2024-12-18T00:00:00"/>
    <s v="South"/>
    <s v="Sneha Iyer"/>
    <x v="3"/>
    <s v="Sofa"/>
    <s v="Retail Store"/>
    <n v="25"/>
    <n v="547.20000000000005"/>
    <n v="20"/>
    <n v="18"/>
    <s v="Pending"/>
    <n v="13680.000000000002"/>
    <n v="2736.0000000000005"/>
    <n v="1969.9200000000003"/>
    <n v="12913.920000000002"/>
  </r>
  <r>
    <s v="ORD-1009"/>
    <d v="2024-04-18T00:00:00"/>
    <s v="East"/>
    <s v="Arjun Sharma"/>
    <x v="1"/>
    <s v="Dumbbells"/>
    <s v="Retail Store"/>
    <n v="21"/>
    <n v="808.32"/>
    <n v="0"/>
    <n v="18"/>
    <s v="Completed"/>
    <n v="16974.72"/>
    <n v="0"/>
    <n v="3055.4496000000004"/>
    <n v="20030.169600000001"/>
  </r>
  <r>
    <s v="ORD-1010"/>
    <d v="2024-10-14T00:00:00"/>
    <s v="South"/>
    <s v="Meera Joshi"/>
    <x v="1"/>
    <s v="Cycling Helmet"/>
    <s v="Direct Sales"/>
    <n v="10"/>
    <n v="537.11"/>
    <n v="0"/>
    <n v="18"/>
    <s v="Pending"/>
    <n v="5371.1"/>
    <n v="0"/>
    <n v="966.798"/>
    <n v="6337.8980000000001"/>
  </r>
  <r>
    <s v="ORD-1011"/>
    <d v="2024-01-25T00:00:00"/>
    <s v="West"/>
    <s v="Aditya Kumar"/>
    <x v="1"/>
    <s v="Cycling Helmet"/>
    <s v="Wholesale"/>
    <n v="9"/>
    <n v="1023.96"/>
    <n v="0"/>
    <n v="18"/>
    <s v="Completed"/>
    <n v="9215.64"/>
    <n v="0"/>
    <n v="1658.8152"/>
    <n v="10874.4552"/>
  </r>
  <r>
    <s v="ORD-1012"/>
    <d v="2024-09-27T00:00:00"/>
    <s v="South"/>
    <s v="Aditya Kumar"/>
    <x v="0"/>
    <s v="Smartphone"/>
    <s v="Online"/>
    <n v="25"/>
    <n v="1195.82"/>
    <n v="10"/>
    <n v="18"/>
    <s v="Pending"/>
    <n v="29895.5"/>
    <n v="2989.55"/>
    <n v="4843.0709999999999"/>
    <n v="31749.021000000001"/>
  </r>
  <r>
    <s v="ORD-1013"/>
    <d v="2024-08-20T00:00:00"/>
    <s v="North"/>
    <s v="Priya Patel"/>
    <x v="3"/>
    <s v="Wardrobe"/>
    <s v="Wholesale"/>
    <n v="8"/>
    <n v="594.07000000000005"/>
    <n v="0"/>
    <n v="18"/>
    <s v="Completed"/>
    <n v="4752.5600000000004"/>
    <n v="0"/>
    <n v="855.46080000000006"/>
    <n v="5608.0208000000002"/>
  </r>
  <r>
    <s v="ORD-1014"/>
    <d v="2024-03-23T00:00:00"/>
    <s v="South"/>
    <s v="Priya Patel"/>
    <x v="0"/>
    <s v="Tablet"/>
    <s v="Wholesale"/>
    <n v="39"/>
    <n v="405.83"/>
    <n v="5"/>
    <n v="18"/>
    <s v="Returned"/>
    <n v="15827.369999999999"/>
    <n v="791.36849999999993"/>
    <n v="2706.48027"/>
    <n v="17742.481769999999"/>
  </r>
  <r>
    <s v="ORD-1015"/>
    <d v="2024-05-02T00:00:00"/>
    <s v="North"/>
    <s v="Kavya Reddy"/>
    <x v="1"/>
    <s v="Tennis Racket"/>
    <s v="Direct Sales"/>
    <n v="8"/>
    <n v="1858.91"/>
    <n v="5"/>
    <n v="18"/>
    <s v="Completed"/>
    <n v="14871.28"/>
    <n v="743.56400000000008"/>
    <n v="2542.9888799999999"/>
    <n v="16670.704880000001"/>
  </r>
  <r>
    <s v="ORD-1016"/>
    <d v="2024-03-06T00:00:00"/>
    <s v="North"/>
    <s v="Priya Patel"/>
    <x v="0"/>
    <s v="Smartphone"/>
    <s v="Direct Sales"/>
    <n v="49"/>
    <n v="1070.0899999999999"/>
    <n v="0"/>
    <n v="18"/>
    <s v="Completed"/>
    <n v="52434.409999999996"/>
    <n v="0"/>
    <n v="9438.1937999999991"/>
    <n v="61872.603799999997"/>
  </r>
  <r>
    <s v="ORD-1017"/>
    <d v="2024-04-12T00:00:00"/>
    <s v="South"/>
    <s v="Vikram Nair"/>
    <x v="2"/>
    <s v="Juice Pack"/>
    <s v="Direct Sales"/>
    <n v="35"/>
    <n v="1512.98"/>
    <n v="20"/>
    <n v="18"/>
    <s v="Completed"/>
    <n v="52954.3"/>
    <n v="10590.86"/>
    <n v="7625.4192000000003"/>
    <n v="49988.859200000006"/>
  </r>
  <r>
    <s v="ORD-1018"/>
    <d v="2024-01-11T00:00:00"/>
    <s v="East"/>
    <s v="Meera Joshi"/>
    <x v="3"/>
    <s v="Office Chair"/>
    <s v="Direct Sales"/>
    <n v="16"/>
    <n v="457.15"/>
    <n v="5"/>
    <n v="18"/>
    <s v="Completed"/>
    <n v="7314.4"/>
    <n v="365.72"/>
    <n v="1250.7623999999998"/>
    <n v="8199.4423999999999"/>
  </r>
  <r>
    <s v="ORD-1019"/>
    <d v="2024-02-04T00:00:00"/>
    <s v="South"/>
    <s v="Sneha Iyer"/>
    <x v="1"/>
    <s v="Tennis Racket"/>
    <s v="Online"/>
    <n v="46"/>
    <n v="1265.8900000000001"/>
    <n v="0"/>
    <n v="18"/>
    <s v="Completed"/>
    <n v="58230.94"/>
    <n v="0"/>
    <n v="10481.5692"/>
    <n v="68712.5092"/>
  </r>
  <r>
    <s v="ORD-1020"/>
    <d v="2024-10-19T00:00:00"/>
    <s v="North"/>
    <s v="Sneha Iyer"/>
    <x v="0"/>
    <s v="Tablet"/>
    <s v="Wholesale"/>
    <n v="14"/>
    <n v="1083.08"/>
    <n v="20"/>
    <n v="18"/>
    <s v="Pending"/>
    <n v="15163.119999999999"/>
    <n v="3032.6239999999998"/>
    <n v="2183.4892799999998"/>
    <n v="14313.985279999999"/>
  </r>
  <r>
    <s v="ORD-1021"/>
    <d v="2024-06-30T00:00:00"/>
    <s v="South"/>
    <s v="Meera Joshi"/>
    <x v="1"/>
    <s v="Running Shoes"/>
    <s v="Direct Sales"/>
    <n v="7"/>
    <n v="202.89"/>
    <n v="10"/>
    <n v="18"/>
    <s v="Completed"/>
    <n v="1420.23"/>
    <n v="142.023"/>
    <n v="230.07726000000002"/>
    <n v="1508.2842600000001"/>
  </r>
  <r>
    <s v="ORD-1022"/>
    <d v="2024-05-07T00:00:00"/>
    <s v="West"/>
    <s v="Arjun Sharma"/>
    <x v="2"/>
    <s v="Energy Bar"/>
    <s v="Online"/>
    <n v="26"/>
    <n v="1459.15"/>
    <n v="0"/>
    <n v="18"/>
    <s v="Completed"/>
    <n v="37937.9"/>
    <n v="0"/>
    <n v="6828.822000000001"/>
    <n v="44766.722000000002"/>
  </r>
  <r>
    <s v="ORD-1023"/>
    <d v="2024-08-14T00:00:00"/>
    <s v="West"/>
    <s v="Rahul Mehta"/>
    <x v="4"/>
    <s v="Jeans"/>
    <s v="Direct Sales"/>
    <n v="18"/>
    <n v="930.63"/>
    <n v="0"/>
    <n v="18"/>
    <s v="Completed"/>
    <n v="16751.34"/>
    <n v="0"/>
    <n v="3015.2411999999999"/>
    <n v="19766.581200000001"/>
  </r>
  <r>
    <s v="ORD-1024"/>
    <d v="2024-04-19T00:00:00"/>
    <s v="North"/>
    <s v="Arjun Sharma"/>
    <x v="1"/>
    <s v="Yoga Mat"/>
    <s v="Online"/>
    <n v="11"/>
    <n v="818.76"/>
    <n v="10"/>
    <n v="18"/>
    <s v="Completed"/>
    <n v="9006.36"/>
    <n v="900.63600000000008"/>
    <n v="1459.0303200000001"/>
    <n v="9564.75432"/>
  </r>
  <r>
    <s v="ORD-1025"/>
    <d v="2024-05-26T00:00:00"/>
    <s v="South"/>
    <s v="Aditya Kumar"/>
    <x v="2"/>
    <s v="Coffee Beans"/>
    <s v="Online"/>
    <n v="17"/>
    <n v="1853.77"/>
    <n v="10"/>
    <n v="18"/>
    <s v="Pending"/>
    <n v="31514.09"/>
    <n v="3151.4090000000001"/>
    <n v="5105.2825800000001"/>
    <n v="33467.963580000003"/>
  </r>
  <r>
    <s v="ORD-1026"/>
    <d v="2024-10-04T00:00:00"/>
    <s v="West"/>
    <s v="Rahul Mehta"/>
    <x v="2"/>
    <s v="Juice Pack"/>
    <s v="Retail Store"/>
    <n v="14"/>
    <n v="1937.73"/>
    <n v="15"/>
    <n v="18"/>
    <s v="Completed"/>
    <n v="27128.22"/>
    <n v="4069.2330000000006"/>
    <n v="4150.6176599999999"/>
    <n v="27209.604660000001"/>
  </r>
  <r>
    <s v="ORD-1027"/>
    <d v="2024-02-11T00:00:00"/>
    <s v="North"/>
    <s v="Arjun Sharma"/>
    <x v="0"/>
    <s v="Tablet"/>
    <s v="Direct Sales"/>
    <n v="34"/>
    <n v="323.29000000000002"/>
    <n v="15"/>
    <n v="18"/>
    <s v="Returned"/>
    <n v="10991.86"/>
    <n v="1648.7790000000002"/>
    <n v="1681.75458"/>
    <n v="11024.835580000001"/>
  </r>
  <r>
    <s v="ORD-1028"/>
    <d v="2024-01-21T00:00:00"/>
    <s v="North"/>
    <s v="Sneha Iyer"/>
    <x v="4"/>
    <s v="T-Shirt"/>
    <s v="Direct Sales"/>
    <n v="37"/>
    <n v="499.97"/>
    <n v="15"/>
    <n v="18"/>
    <s v="Completed"/>
    <n v="18498.89"/>
    <n v="2774.8334999999997"/>
    <n v="2830.3301699999997"/>
    <n v="18554.38667"/>
  </r>
  <r>
    <s v="ORD-1029"/>
    <d v="2024-05-15T00:00:00"/>
    <s v="West"/>
    <s v="Kavya Reddy"/>
    <x v="1"/>
    <s v="Yoga Mat"/>
    <s v="Wholesale"/>
    <n v="43"/>
    <n v="1435.22"/>
    <n v="0"/>
    <n v="18"/>
    <s v="Completed"/>
    <n v="61714.46"/>
    <n v="0"/>
    <n v="11108.602800000001"/>
    <n v="72823.0628"/>
  </r>
  <r>
    <s v="ORD-1030"/>
    <d v="2024-02-21T00:00:00"/>
    <s v="East"/>
    <s v="Meera Joshi"/>
    <x v="2"/>
    <s v="Organic Tea"/>
    <s v="Wholesale"/>
    <n v="1"/>
    <n v="921.99"/>
    <n v="15"/>
    <n v="18"/>
    <s v="Completed"/>
    <n v="921.99"/>
    <n v="138.29849999999999"/>
    <n v="141.06447"/>
    <n v="924.75597000000005"/>
  </r>
  <r>
    <s v="ORD-1031"/>
    <d v="2024-05-25T00:00:00"/>
    <s v="South"/>
    <s v="Vikram Nair"/>
    <x v="0"/>
    <s v="Smartwatch"/>
    <s v="Retail Store"/>
    <n v="5"/>
    <n v="1759.75"/>
    <n v="5"/>
    <n v="18"/>
    <s v="Completed"/>
    <n v="8798.75"/>
    <n v="439.9375"/>
    <n v="1504.5862500000001"/>
    <n v="9863.3987500000003"/>
  </r>
  <r>
    <s v="ORD-1032"/>
    <d v="2024-10-10T00:00:00"/>
    <s v="East"/>
    <s v="Arjun Sharma"/>
    <x v="4"/>
    <s v="Dress"/>
    <s v="Wholesale"/>
    <n v="9"/>
    <n v="536.29"/>
    <n v="0"/>
    <n v="18"/>
    <s v="Completed"/>
    <n v="4826.6099999999997"/>
    <n v="0"/>
    <n v="868.78980000000001"/>
    <n v="5695.3997999999992"/>
  </r>
  <r>
    <s v="ORD-1033"/>
    <d v="2024-09-15T00:00:00"/>
    <s v="East"/>
    <s v="Sneha Iyer"/>
    <x v="4"/>
    <s v="Jacket"/>
    <s v="Wholesale"/>
    <n v="44"/>
    <n v="1272.1300000000001"/>
    <n v="5"/>
    <n v="18"/>
    <s v="Completed"/>
    <n v="55973.72"/>
    <n v="2798.6859999999997"/>
    <n v="9571.50612"/>
    <n v="62746.540119999998"/>
  </r>
  <r>
    <s v="ORD-1034"/>
    <d v="2024-11-22T00:00:00"/>
    <s v="North"/>
    <s v="Priya Patel"/>
    <x v="2"/>
    <s v="Protein Shake"/>
    <s v="Direct Sales"/>
    <n v="3"/>
    <n v="17.059999999999999"/>
    <n v="0"/>
    <n v="18"/>
    <s v="Completed"/>
    <n v="51.179999999999993"/>
    <n v="0"/>
    <n v="9.2123999999999988"/>
    <n v="60.392399999999995"/>
  </r>
  <r>
    <s v="ORD-1035"/>
    <d v="2024-03-17T00:00:00"/>
    <s v="West"/>
    <s v="Aditya Kumar"/>
    <x v="3"/>
    <s v="Dining Table"/>
    <s v="Online"/>
    <n v="5"/>
    <n v="1890.65"/>
    <n v="20"/>
    <n v="18"/>
    <s v="Completed"/>
    <n v="9453.25"/>
    <n v="1890.65"/>
    <n v="1361.2680000000003"/>
    <n v="8923.8680000000004"/>
  </r>
  <r>
    <s v="ORD-1036"/>
    <d v="2024-07-02T00:00:00"/>
    <s v="East"/>
    <s v="Rahul Mehta"/>
    <x v="1"/>
    <s v="Yoga Mat"/>
    <s v="Direct Sales"/>
    <n v="3"/>
    <n v="623.42999999999995"/>
    <n v="0"/>
    <n v="18"/>
    <s v="Completed"/>
    <n v="1870.29"/>
    <n v="0"/>
    <n v="336.65219999999999"/>
    <n v="2206.9422"/>
  </r>
  <r>
    <s v="ORD-1037"/>
    <d v="2024-03-24T00:00:00"/>
    <s v="North"/>
    <s v="Kavya Reddy"/>
    <x v="4"/>
    <s v="Jeans"/>
    <s v="Direct Sales"/>
    <n v="48"/>
    <n v="317.56"/>
    <n v="0"/>
    <n v="18"/>
    <s v="Returned"/>
    <n v="15242.880000000001"/>
    <n v="0"/>
    <n v="2743.7184000000002"/>
    <n v="17986.598400000003"/>
  </r>
  <r>
    <s v="ORD-1038"/>
    <d v="2024-05-16T00:00:00"/>
    <s v="North"/>
    <s v="Rahul Mehta"/>
    <x v="4"/>
    <s v="Dress"/>
    <s v="Wholesale"/>
    <n v="43"/>
    <n v="1729.49"/>
    <n v="0"/>
    <n v="18"/>
    <s v="Pending"/>
    <n v="74368.070000000007"/>
    <n v="0"/>
    <n v="13386.252600000002"/>
    <n v="87754.322600000014"/>
  </r>
  <r>
    <s v="ORD-1039"/>
    <d v="2024-06-28T00:00:00"/>
    <s v="West"/>
    <s v="Arjun Sharma"/>
    <x v="4"/>
    <s v="T-Shirt"/>
    <s v="Direct Sales"/>
    <n v="13"/>
    <n v="1635.01"/>
    <n v="10"/>
    <n v="18"/>
    <s v="Completed"/>
    <n v="21255.13"/>
    <n v="2125.5130000000004"/>
    <n v="3443.3310600000004"/>
    <n v="22572.948060000002"/>
  </r>
  <r>
    <s v="ORD-1040"/>
    <d v="2024-05-22T00:00:00"/>
    <s v="South"/>
    <s v="Arjun Sharma"/>
    <x v="3"/>
    <s v="Dining Table"/>
    <s v="Retail Store"/>
    <n v="22"/>
    <n v="564.41999999999996"/>
    <n v="0"/>
    <n v="18"/>
    <s v="Pending"/>
    <n v="12417.24"/>
    <n v="0"/>
    <n v="2235.1032"/>
    <n v="14652.343199999999"/>
  </r>
  <r>
    <s v="ORD-1041"/>
    <d v="2024-01-20T00:00:00"/>
    <s v="West"/>
    <s v="Kavya Reddy"/>
    <x v="3"/>
    <s v="Wardrobe"/>
    <s v="Online"/>
    <n v="17"/>
    <n v="365.35"/>
    <n v="5"/>
    <n v="18"/>
    <s v="Completed"/>
    <n v="6210.9500000000007"/>
    <n v="310.54750000000001"/>
    <n v="1062.0724500000003"/>
    <n v="6962.4749500000016"/>
  </r>
  <r>
    <s v="ORD-1042"/>
    <d v="2024-07-16T00:00:00"/>
    <s v="West"/>
    <s v="Kavya Reddy"/>
    <x v="0"/>
    <s v="Smartwatch"/>
    <s v="Wholesale"/>
    <n v="39"/>
    <n v="1968.63"/>
    <n v="0"/>
    <n v="18"/>
    <s v="Pending"/>
    <n v="76776.570000000007"/>
    <n v="0"/>
    <n v="13819.782600000002"/>
    <n v="90596.352600000013"/>
  </r>
  <r>
    <s v="ORD-1043"/>
    <d v="2024-12-17T00:00:00"/>
    <s v="East"/>
    <s v="Arjun Sharma"/>
    <x v="1"/>
    <s v="Dumbbells"/>
    <s v="Direct Sales"/>
    <n v="34"/>
    <n v="1851.89"/>
    <n v="15"/>
    <n v="18"/>
    <s v="Completed"/>
    <n v="62964.26"/>
    <n v="9444.639000000001"/>
    <n v="9633.5317799999993"/>
    <n v="63153.152779999997"/>
  </r>
  <r>
    <s v="ORD-1044"/>
    <d v="2024-06-02T00:00:00"/>
    <s v="West"/>
    <s v="Priya Patel"/>
    <x v="4"/>
    <s v="Jacket"/>
    <s v="Wholesale"/>
    <n v="21"/>
    <n v="1330.14"/>
    <n v="0"/>
    <n v="18"/>
    <s v="Returned"/>
    <n v="27932.940000000002"/>
    <n v="0"/>
    <n v="5027.9292000000005"/>
    <n v="32960.869200000001"/>
  </r>
  <r>
    <s v="ORD-1045"/>
    <d v="2024-12-06T00:00:00"/>
    <s v="West"/>
    <s v="Kavya Reddy"/>
    <x v="1"/>
    <s v="Cycling Helmet"/>
    <s v="Direct Sales"/>
    <n v="36"/>
    <n v="263.3"/>
    <n v="10"/>
    <n v="18"/>
    <s v="Completed"/>
    <n v="9478.8000000000011"/>
    <n v="947.88000000000011"/>
    <n v="1535.5656000000004"/>
    <n v="10066.485600000002"/>
  </r>
  <r>
    <s v="ORD-1046"/>
    <d v="2024-11-06T00:00:00"/>
    <s v="East"/>
    <s v="Aditya Kumar"/>
    <x v="2"/>
    <s v="Organic Tea"/>
    <s v="Online"/>
    <n v="19"/>
    <n v="428.26"/>
    <n v="15"/>
    <n v="18"/>
    <s v="Completed"/>
    <n v="8136.94"/>
    <n v="1220.5409999999999"/>
    <n v="1244.9518199999998"/>
    <n v="8161.3508199999997"/>
  </r>
  <r>
    <s v="ORD-1047"/>
    <d v="2024-03-27T00:00:00"/>
    <s v="West"/>
    <s v="Meera Joshi"/>
    <x v="3"/>
    <s v="Office Chair"/>
    <s v="Retail Store"/>
    <n v="31"/>
    <n v="1589.53"/>
    <n v="20"/>
    <n v="18"/>
    <s v="Returned"/>
    <n v="49275.43"/>
    <n v="9855.0859999999993"/>
    <n v="7095.6619199999996"/>
    <n v="46516.005919999996"/>
  </r>
  <r>
    <s v="ORD-1048"/>
    <d v="2024-01-13T00:00:00"/>
    <s v="East"/>
    <s v="Priya Patel"/>
    <x v="0"/>
    <s v="Tablet"/>
    <s v="Retail Store"/>
    <n v="15"/>
    <n v="1615.06"/>
    <n v="0"/>
    <n v="18"/>
    <s v="Completed"/>
    <n v="24225.899999999998"/>
    <n v="0"/>
    <n v="4360.6619999999994"/>
    <n v="28586.561999999998"/>
  </r>
  <r>
    <s v="ORD-1049"/>
    <d v="2024-12-22T00:00:00"/>
    <s v="West"/>
    <s v="Priya Patel"/>
    <x v="0"/>
    <s v="Smartphone"/>
    <s v="Direct Sales"/>
    <n v="41"/>
    <n v="1155.5899999999999"/>
    <n v="20"/>
    <n v="18"/>
    <s v="Pending"/>
    <n v="47379.189999999995"/>
    <n v="9475.8379999999997"/>
    <n v="6822.6033600000001"/>
    <n v="44725.95536"/>
  </r>
  <r>
    <s v="ORD-1050"/>
    <d v="2024-08-05T00:00:00"/>
    <s v="West"/>
    <s v="Sneha Iyer"/>
    <x v="2"/>
    <s v="Energy Bar"/>
    <s v="Retail Store"/>
    <n v="49"/>
    <n v="1722.28"/>
    <n v="0"/>
    <n v="18"/>
    <s v="Completed"/>
    <n v="84391.72"/>
    <n v="0"/>
    <n v="15190.509599999999"/>
    <n v="99582.229600000006"/>
  </r>
  <r>
    <s v="ORD-1051"/>
    <d v="2024-12-07T00:00:00"/>
    <s v="West"/>
    <s v="Arjun Sharma"/>
    <x v="4"/>
    <s v="Jeans"/>
    <s v="Retail Store"/>
    <n v="30"/>
    <n v="275.33999999999997"/>
    <n v="10"/>
    <n v="18"/>
    <s v="Completed"/>
    <n v="8260.1999999999989"/>
    <n v="826.01999999999987"/>
    <n v="1338.1523999999999"/>
    <n v="8772.3323999999993"/>
  </r>
  <r>
    <s v="ORD-1052"/>
    <d v="2024-08-31T00:00:00"/>
    <s v="East"/>
    <s v="Meera Joshi"/>
    <x v="1"/>
    <s v="Tennis Racket"/>
    <s v="Direct Sales"/>
    <n v="29"/>
    <n v="1795.44"/>
    <n v="20"/>
    <n v="18"/>
    <s v="Returned"/>
    <n v="52067.76"/>
    <n v="10413.552000000001"/>
    <n v="7497.7574399999994"/>
    <n v="49151.96544"/>
  </r>
  <r>
    <s v="ORD-1053"/>
    <d v="2024-05-26T00:00:00"/>
    <s v="South"/>
    <s v="Vikram Nair"/>
    <x v="2"/>
    <s v="Protein Shake"/>
    <s v="Direct Sales"/>
    <n v="18"/>
    <n v="885.35"/>
    <n v="20"/>
    <n v="18"/>
    <s v="Completed"/>
    <n v="15936.300000000001"/>
    <n v="3187.26"/>
    <n v="2294.8272000000002"/>
    <n v="15043.867200000001"/>
  </r>
  <r>
    <s v="ORD-1054"/>
    <d v="2024-03-19T00:00:00"/>
    <s v="East"/>
    <s v="Kavya Reddy"/>
    <x v="4"/>
    <s v="Jacket"/>
    <s v="Online"/>
    <n v="10"/>
    <n v="470.21"/>
    <n v="20"/>
    <n v="18"/>
    <s v="Completed"/>
    <n v="4702.0999999999995"/>
    <n v="940.41999999999985"/>
    <n v="677.10239999999988"/>
    <n v="4438.7823999999991"/>
  </r>
  <r>
    <s v="ORD-1055"/>
    <d v="2024-08-03T00:00:00"/>
    <s v="West"/>
    <s v="Aditya Kumar"/>
    <x v="4"/>
    <s v="T-Shirt"/>
    <s v="Wholesale"/>
    <n v="30"/>
    <n v="837.39"/>
    <n v="0"/>
    <n v="18"/>
    <s v="Returned"/>
    <n v="25121.7"/>
    <n v="0"/>
    <n v="4521.9059999999999"/>
    <n v="29643.606"/>
  </r>
  <r>
    <s v="ORD-1056"/>
    <d v="2024-08-02T00:00:00"/>
    <s v="North"/>
    <s v="Aditya Kumar"/>
    <x v="2"/>
    <s v="Juice Pack"/>
    <s v="Direct Sales"/>
    <n v="23"/>
    <n v="604.24"/>
    <n v="10"/>
    <n v="18"/>
    <s v="Completed"/>
    <n v="13897.52"/>
    <n v="1389.7520000000002"/>
    <n v="2251.39824"/>
    <n v="14759.16624"/>
  </r>
  <r>
    <s v="ORD-1057"/>
    <d v="2024-06-21T00:00:00"/>
    <s v="South"/>
    <s v="Meera Joshi"/>
    <x v="1"/>
    <s v="Tennis Racket"/>
    <s v="Retail Store"/>
    <n v="28"/>
    <n v="976.43"/>
    <n v="10"/>
    <n v="18"/>
    <s v="Completed"/>
    <n v="27340.039999999997"/>
    <n v="2734.0039999999995"/>
    <n v="4429.086479999999"/>
    <n v="29035.122479999995"/>
  </r>
  <r>
    <s v="ORD-1058"/>
    <d v="2024-02-12T00:00:00"/>
    <s v="West"/>
    <s v="Rahul Mehta"/>
    <x v="2"/>
    <s v="Organic Tea"/>
    <s v="Online"/>
    <n v="38"/>
    <n v="1133.1400000000001"/>
    <n v="0"/>
    <n v="18"/>
    <s v="Pending"/>
    <n v="43059.320000000007"/>
    <n v="0"/>
    <n v="7750.6776000000009"/>
    <n v="50809.99760000001"/>
  </r>
  <r>
    <s v="ORD-1059"/>
    <d v="2024-06-16T00:00:00"/>
    <s v="West"/>
    <s v="Rahul Mehta"/>
    <x v="2"/>
    <s v="Organic Tea"/>
    <s v="Online"/>
    <n v="25"/>
    <n v="661.43"/>
    <n v="10"/>
    <n v="18"/>
    <s v="Completed"/>
    <n v="16535.75"/>
    <n v="1653.575"/>
    <n v="2678.7914999999998"/>
    <n v="17560.966499999999"/>
  </r>
  <r>
    <s v="ORD-1060"/>
    <d v="2024-01-27T00:00:00"/>
    <s v="East"/>
    <s v="Aditya Kumar"/>
    <x v="3"/>
    <s v="Office Chair"/>
    <s v="Wholesale"/>
    <n v="31"/>
    <n v="48.57"/>
    <n v="15"/>
    <n v="18"/>
    <s v="Completed"/>
    <n v="1505.67"/>
    <n v="225.85050000000004"/>
    <n v="230.36751000000001"/>
    <n v="1510.1870100000001"/>
  </r>
  <r>
    <s v="ORD-1061"/>
    <d v="2024-03-19T00:00:00"/>
    <s v="North"/>
    <s v="Arjun Sharma"/>
    <x v="3"/>
    <s v="Dining Table"/>
    <s v="Online"/>
    <n v="13"/>
    <n v="1680.07"/>
    <n v="15"/>
    <n v="18"/>
    <s v="Completed"/>
    <n v="21840.91"/>
    <n v="3276.1365000000001"/>
    <n v="3341.6592300000002"/>
    <n v="21906.43273"/>
  </r>
  <r>
    <s v="ORD-1062"/>
    <d v="2024-03-26T00:00:00"/>
    <s v="West"/>
    <s v="Priya Patel"/>
    <x v="4"/>
    <s v="Jeans"/>
    <s v="Retail Store"/>
    <n v="45"/>
    <n v="519.91999999999996"/>
    <n v="5"/>
    <n v="18"/>
    <s v="Pending"/>
    <n v="23396.399999999998"/>
    <n v="1169.82"/>
    <n v="4000.7843999999996"/>
    <n v="26227.364399999999"/>
  </r>
  <r>
    <s v="ORD-1063"/>
    <d v="2024-10-21T00:00:00"/>
    <s v="North"/>
    <s v="Rahul Mehta"/>
    <x v="1"/>
    <s v="Tennis Racket"/>
    <s v="Wholesale"/>
    <n v="38"/>
    <n v="61.1"/>
    <n v="5"/>
    <n v="18"/>
    <s v="Completed"/>
    <n v="2321.8000000000002"/>
    <n v="116.09"/>
    <n v="397.02780000000001"/>
    <n v="2602.7377999999999"/>
  </r>
  <r>
    <s v="ORD-1064"/>
    <d v="2024-11-03T00:00:00"/>
    <s v="South"/>
    <s v="Priya Patel"/>
    <x v="2"/>
    <s v="Energy Bar"/>
    <s v="Retail Store"/>
    <n v="45"/>
    <n v="1547.24"/>
    <n v="20"/>
    <n v="18"/>
    <s v="Completed"/>
    <n v="69625.8"/>
    <n v="13925.16"/>
    <n v="10026.1152"/>
    <n v="65726.7552"/>
  </r>
  <r>
    <s v="ORD-1065"/>
    <d v="2024-01-07T00:00:00"/>
    <s v="North"/>
    <s v="Kavya Reddy"/>
    <x v="0"/>
    <s v="Smartwatch"/>
    <s v="Direct Sales"/>
    <n v="5"/>
    <n v="1016.86"/>
    <n v="5"/>
    <n v="18"/>
    <s v="Completed"/>
    <n v="5084.3"/>
    <n v="254.215"/>
    <n v="869.4153"/>
    <n v="5699.5002999999997"/>
  </r>
  <r>
    <s v="ORD-1066"/>
    <d v="2024-09-24T00:00:00"/>
    <s v="North"/>
    <s v="Aditya Kumar"/>
    <x v="2"/>
    <s v="Energy Bar"/>
    <s v="Wholesale"/>
    <n v="46"/>
    <n v="314.45"/>
    <n v="0"/>
    <n v="18"/>
    <s v="Pending"/>
    <n v="14464.699999999999"/>
    <n v="0"/>
    <n v="2603.6459999999997"/>
    <n v="17068.345999999998"/>
  </r>
  <r>
    <s v="ORD-1067"/>
    <d v="2024-02-14T00:00:00"/>
    <s v="West"/>
    <s v="Meera Joshi"/>
    <x v="3"/>
    <s v="Wardrobe"/>
    <s v="Direct Sales"/>
    <n v="18"/>
    <n v="651.39"/>
    <n v="0"/>
    <n v="18"/>
    <s v="Returned"/>
    <n v="11725.02"/>
    <n v="0"/>
    <n v="2110.5036"/>
    <n v="13835.5236"/>
  </r>
  <r>
    <s v="ORD-1068"/>
    <d v="2024-04-03T00:00:00"/>
    <s v="South"/>
    <s v="Meera Joshi"/>
    <x v="3"/>
    <s v="Office Chair"/>
    <s v="Direct Sales"/>
    <n v="2"/>
    <n v="993.67"/>
    <n v="5"/>
    <n v="18"/>
    <s v="Completed"/>
    <n v="1987.34"/>
    <n v="99.36699999999999"/>
    <n v="339.83513999999997"/>
    <n v="2227.8081400000001"/>
  </r>
  <r>
    <s v="ORD-1069"/>
    <d v="2024-10-11T00:00:00"/>
    <s v="East"/>
    <s v="Vikram Nair"/>
    <x v="2"/>
    <s v="Organic Tea"/>
    <s v="Wholesale"/>
    <n v="39"/>
    <n v="1405.36"/>
    <n v="5"/>
    <n v="18"/>
    <s v="Completed"/>
    <n v="54809.039999999994"/>
    <n v="2740.4519999999993"/>
    <n v="9372.34584"/>
    <n v="61440.933839999998"/>
  </r>
  <r>
    <s v="ORD-1070"/>
    <d v="2024-12-19T00:00:00"/>
    <s v="South"/>
    <s v="Priya Patel"/>
    <x v="0"/>
    <s v="Smartwatch"/>
    <s v="Retail Store"/>
    <n v="32"/>
    <n v="1114.8"/>
    <n v="0"/>
    <n v="18"/>
    <s v="Pending"/>
    <n v="35673.599999999999"/>
    <n v="0"/>
    <n v="6421.2479999999996"/>
    <n v="42094.847999999998"/>
  </r>
  <r>
    <s v="ORD-1071"/>
    <d v="2024-06-05T00:00:00"/>
    <s v="West"/>
    <s v="Arjun Sharma"/>
    <x v="2"/>
    <s v="Energy Bar"/>
    <s v="Online"/>
    <n v="15"/>
    <n v="814.76"/>
    <n v="0"/>
    <n v="18"/>
    <s v="Completed"/>
    <n v="12221.4"/>
    <n v="0"/>
    <n v="2199.8519999999999"/>
    <n v="14421.252"/>
  </r>
  <r>
    <s v="ORD-1072"/>
    <d v="2024-05-18T00:00:00"/>
    <s v="West"/>
    <s v="Kavya Reddy"/>
    <x v="1"/>
    <s v="Cycling Helmet"/>
    <s v="Direct Sales"/>
    <n v="22"/>
    <n v="710.1"/>
    <n v="10"/>
    <n v="18"/>
    <s v="Returned"/>
    <n v="15622.2"/>
    <n v="1562.22"/>
    <n v="2530.7964000000002"/>
    <n v="16590.776400000002"/>
  </r>
  <r>
    <s v="ORD-1073"/>
    <d v="2024-04-04T00:00:00"/>
    <s v="South"/>
    <s v="Priya Patel"/>
    <x v="3"/>
    <s v="Bookshelf"/>
    <s v="Retail Store"/>
    <n v="8"/>
    <n v="1488.33"/>
    <n v="20"/>
    <n v="18"/>
    <s v="Completed"/>
    <n v="11906.64"/>
    <n v="2381.328"/>
    <n v="1714.5561600000001"/>
    <n v="11239.86816"/>
  </r>
  <r>
    <s v="ORD-1074"/>
    <d v="2024-04-01T00:00:00"/>
    <s v="West"/>
    <s v="Vikram Nair"/>
    <x v="4"/>
    <s v="Jeans"/>
    <s v="Wholesale"/>
    <n v="13"/>
    <n v="599.53"/>
    <n v="5"/>
    <n v="18"/>
    <s v="Completed"/>
    <n v="7793.8899999999994"/>
    <n v="389.69449999999995"/>
    <n v="1332.7551900000001"/>
    <n v="8736.9506899999997"/>
  </r>
  <r>
    <s v="ORD-1075"/>
    <d v="2024-11-22T00:00:00"/>
    <s v="South"/>
    <s v="Vikram Nair"/>
    <x v="3"/>
    <s v="Sofa"/>
    <s v="Online"/>
    <n v="36"/>
    <n v="591.35"/>
    <n v="0"/>
    <n v="18"/>
    <s v="Completed"/>
    <n v="21288.600000000002"/>
    <n v="0"/>
    <n v="3831.9480000000003"/>
    <n v="25120.548000000003"/>
  </r>
  <r>
    <s v="ORD-1076"/>
    <d v="2024-05-09T00:00:00"/>
    <s v="North"/>
    <s v="Vikram Nair"/>
    <x v="2"/>
    <s v="Coffee Beans"/>
    <s v="Direct Sales"/>
    <n v="29"/>
    <n v="688"/>
    <n v="0"/>
    <n v="18"/>
    <s v="Pending"/>
    <n v="19952"/>
    <n v="0"/>
    <n v="3591.36"/>
    <n v="23543.360000000001"/>
  </r>
  <r>
    <s v="ORD-1077"/>
    <d v="2024-03-18T00:00:00"/>
    <s v="North"/>
    <s v="Aditya Kumar"/>
    <x v="2"/>
    <s v="Coffee Beans"/>
    <s v="Direct Sales"/>
    <n v="37"/>
    <n v="1262.5999999999999"/>
    <n v="0"/>
    <n v="18"/>
    <s v="Completed"/>
    <n v="46716.2"/>
    <n v="0"/>
    <n v="8408.9159999999993"/>
    <n v="55125.115999999995"/>
  </r>
  <r>
    <s v="ORD-1078"/>
    <d v="2024-11-01T00:00:00"/>
    <s v="East"/>
    <s v="Priya Patel"/>
    <x v="4"/>
    <s v="Sneakers"/>
    <s v="Retail Store"/>
    <n v="36"/>
    <n v="1531.24"/>
    <n v="15"/>
    <n v="18"/>
    <s v="Completed"/>
    <n v="55124.639999999999"/>
    <n v="8268.6959999999999"/>
    <n v="8434.0699200000017"/>
    <n v="55290.013920000005"/>
  </r>
  <r>
    <s v="ORD-1079"/>
    <d v="2024-10-18T00:00:00"/>
    <s v="West"/>
    <s v="Meera Joshi"/>
    <x v="1"/>
    <s v="Dumbbells"/>
    <s v="Direct Sales"/>
    <n v="38"/>
    <n v="1980.16"/>
    <n v="5"/>
    <n v="18"/>
    <s v="Completed"/>
    <n v="75246.080000000002"/>
    <n v="3762.3040000000001"/>
    <n v="12867.079679999999"/>
    <n v="84350.855679999993"/>
  </r>
  <r>
    <s v="ORD-1080"/>
    <d v="2024-03-29T00:00:00"/>
    <s v="North"/>
    <s v="Sneha Iyer"/>
    <x v="1"/>
    <s v="Yoga Mat"/>
    <s v="Retail Store"/>
    <n v="43"/>
    <n v="171.56"/>
    <n v="0"/>
    <n v="18"/>
    <s v="Completed"/>
    <n v="7377.08"/>
    <n v="0"/>
    <n v="1327.8743999999999"/>
    <n v="8704.9544000000005"/>
  </r>
  <r>
    <s v="ORD-1081"/>
    <d v="2024-01-17T00:00:00"/>
    <s v="South"/>
    <s v="Arjun Sharma"/>
    <x v="1"/>
    <s v="Yoga Mat"/>
    <s v="Direct Sales"/>
    <n v="45"/>
    <n v="1191.68"/>
    <n v="5"/>
    <n v="18"/>
    <s v="Pending"/>
    <n v="53625.600000000006"/>
    <n v="2681.28"/>
    <n v="9169.977600000002"/>
    <n v="60114.297600000005"/>
  </r>
  <r>
    <s v="ORD-1082"/>
    <d v="2024-10-28T00:00:00"/>
    <s v="East"/>
    <s v="Meera Joshi"/>
    <x v="4"/>
    <s v="Jacket"/>
    <s v="Online"/>
    <n v="17"/>
    <n v="1577.78"/>
    <n v="20"/>
    <n v="18"/>
    <s v="Completed"/>
    <n v="26822.26"/>
    <n v="5364.4519999999993"/>
    <n v="3862.4054399999995"/>
    <n v="25320.213439999996"/>
  </r>
  <r>
    <s v="ORD-1083"/>
    <d v="2024-06-06T00:00:00"/>
    <s v="North"/>
    <s v="Sneha Iyer"/>
    <x v="4"/>
    <s v="Dress"/>
    <s v="Retail Store"/>
    <n v="10"/>
    <n v="152.11000000000001"/>
    <n v="0"/>
    <n v="18"/>
    <s v="Completed"/>
    <n v="1521.1000000000001"/>
    <n v="0"/>
    <n v="273.798"/>
    <n v="1794.8980000000001"/>
  </r>
  <r>
    <s v="ORD-1084"/>
    <d v="2024-05-19T00:00:00"/>
    <s v="East"/>
    <s v="Meera Joshi"/>
    <x v="1"/>
    <s v="Tennis Racket"/>
    <s v="Online"/>
    <n v="45"/>
    <n v="615.14"/>
    <n v="10"/>
    <n v="18"/>
    <s v="Pending"/>
    <n v="27681.3"/>
    <n v="2768.13"/>
    <n v="4484.3705999999993"/>
    <n v="29397.540599999997"/>
  </r>
  <r>
    <s v="ORD-1085"/>
    <d v="2024-06-14T00:00:00"/>
    <s v="West"/>
    <s v="Meera Joshi"/>
    <x v="1"/>
    <s v="Tennis Racket"/>
    <s v="Online"/>
    <n v="3"/>
    <n v="1779.95"/>
    <n v="20"/>
    <n v="18"/>
    <s v="Returned"/>
    <n v="5339.85"/>
    <n v="1067.97"/>
    <n v="768.9384"/>
    <n v="5040.8184000000001"/>
  </r>
  <r>
    <s v="ORD-1086"/>
    <d v="2024-05-17T00:00:00"/>
    <s v="North"/>
    <s v="Priya Patel"/>
    <x v="1"/>
    <s v="Cycling Helmet"/>
    <s v="Retail Store"/>
    <n v="38"/>
    <n v="1902.06"/>
    <n v="20"/>
    <n v="18"/>
    <s v="Returned"/>
    <n v="72278.28"/>
    <n v="14455.656000000001"/>
    <n v="10408.072319999999"/>
    <n v="68230.696319999988"/>
  </r>
  <r>
    <s v="ORD-1087"/>
    <d v="2024-11-21T00:00:00"/>
    <s v="South"/>
    <s v="Meera Joshi"/>
    <x v="1"/>
    <s v="Yoga Mat"/>
    <s v="Direct Sales"/>
    <n v="12"/>
    <n v="1993.92"/>
    <n v="10"/>
    <n v="18"/>
    <s v="Completed"/>
    <n v="23927.040000000001"/>
    <n v="2392.7040000000002"/>
    <n v="3876.18048"/>
    <n v="25410.516479999998"/>
  </r>
  <r>
    <s v="ORD-1088"/>
    <d v="2024-06-17T00:00:00"/>
    <s v="West"/>
    <s v="Kavya Reddy"/>
    <x v="2"/>
    <s v="Coffee Beans"/>
    <s v="Direct Sales"/>
    <n v="21"/>
    <n v="1343.57"/>
    <n v="0"/>
    <n v="18"/>
    <s v="Completed"/>
    <n v="28214.969999999998"/>
    <n v="0"/>
    <n v="5078.6945999999998"/>
    <n v="33293.664599999996"/>
  </r>
  <r>
    <s v="ORD-1089"/>
    <d v="2024-02-29T00:00:00"/>
    <s v="East"/>
    <s v="Aditya Kumar"/>
    <x v="2"/>
    <s v="Energy Bar"/>
    <s v="Online"/>
    <n v="6"/>
    <n v="635.89"/>
    <n v="5"/>
    <n v="18"/>
    <s v="Pending"/>
    <n v="3815.34"/>
    <n v="190.767"/>
    <n v="652.4231400000001"/>
    <n v="4276.9961400000002"/>
  </r>
  <r>
    <s v="ORD-1090"/>
    <d v="2024-09-12T00:00:00"/>
    <s v="North"/>
    <s v="Meera Joshi"/>
    <x v="2"/>
    <s v="Juice Pack"/>
    <s v="Direct Sales"/>
    <n v="13"/>
    <n v="1041.69"/>
    <n v="15"/>
    <n v="18"/>
    <s v="Completed"/>
    <n v="13541.970000000001"/>
    <n v="2031.2955000000002"/>
    <n v="2071.9214099999999"/>
    <n v="13582.59591"/>
  </r>
  <r>
    <s v="ORD-1091"/>
    <d v="2024-03-03T00:00:00"/>
    <s v="South"/>
    <s v="Vikram Nair"/>
    <x v="2"/>
    <s v="Coffee Beans"/>
    <s v="Retail Store"/>
    <n v="29"/>
    <n v="1762.88"/>
    <n v="10"/>
    <n v="18"/>
    <s v="Completed"/>
    <n v="51123.520000000004"/>
    <n v="5112.3520000000008"/>
    <n v="8282.0102400000014"/>
    <n v="54293.178240000008"/>
  </r>
  <r>
    <s v="ORD-1092"/>
    <d v="2024-04-25T00:00:00"/>
    <s v="South"/>
    <s v="Rahul Mehta"/>
    <x v="0"/>
    <s v="Smartwatch"/>
    <s v="Wholesale"/>
    <n v="1"/>
    <n v="1108.98"/>
    <n v="0"/>
    <n v="18"/>
    <s v="Returned"/>
    <n v="1108.98"/>
    <n v="0"/>
    <n v="199.6164"/>
    <n v="1308.5963999999999"/>
  </r>
  <r>
    <s v="ORD-1093"/>
    <d v="2024-09-04T00:00:00"/>
    <s v="North"/>
    <s v="Rahul Mehta"/>
    <x v="0"/>
    <s v="Headphones"/>
    <s v="Direct Sales"/>
    <n v="33"/>
    <n v="1413.77"/>
    <n v="10"/>
    <n v="18"/>
    <s v="Completed"/>
    <n v="46654.409999999996"/>
    <n v="4665.4409999999998"/>
    <n v="7558.0144199999995"/>
    <n v="49546.983419999997"/>
  </r>
  <r>
    <s v="ORD-1094"/>
    <d v="2024-02-05T00:00:00"/>
    <s v="West"/>
    <s v="Rahul Mehta"/>
    <x v="2"/>
    <s v="Organic Tea"/>
    <s v="Direct Sales"/>
    <n v="39"/>
    <n v="1021.4"/>
    <n v="0"/>
    <n v="18"/>
    <s v="Completed"/>
    <n v="39834.6"/>
    <n v="0"/>
    <n v="7170.2279999999992"/>
    <n v="47004.827999999994"/>
  </r>
  <r>
    <s v="ORD-1095"/>
    <d v="2024-10-23T00:00:00"/>
    <s v="East"/>
    <s v="Vikram Nair"/>
    <x v="3"/>
    <s v="Office Chair"/>
    <s v="Online"/>
    <n v="47"/>
    <n v="604.13"/>
    <n v="15"/>
    <n v="18"/>
    <s v="Completed"/>
    <n v="28394.11"/>
    <n v="4259.1165000000001"/>
    <n v="4344.2988300000006"/>
    <n v="28479.29233"/>
  </r>
  <r>
    <s v="ORD-1096"/>
    <d v="2024-08-21T00:00:00"/>
    <s v="West"/>
    <s v="Meera Joshi"/>
    <x v="2"/>
    <s v="Organic Tea"/>
    <s v="Wholesale"/>
    <n v="36"/>
    <n v="1528.12"/>
    <n v="10"/>
    <n v="18"/>
    <s v="Completed"/>
    <n v="55012.319999999992"/>
    <n v="5501.232"/>
    <n v="8911.9958399999978"/>
    <n v="58423.083839999985"/>
  </r>
  <r>
    <s v="ORD-1097"/>
    <d v="2024-12-27T00:00:00"/>
    <s v="South"/>
    <s v="Aditya Kumar"/>
    <x v="3"/>
    <s v="Dining Table"/>
    <s v="Retail Store"/>
    <n v="3"/>
    <n v="643.16999999999996"/>
    <n v="10"/>
    <n v="18"/>
    <s v="Pending"/>
    <n v="1929.5099999999998"/>
    <n v="192.95099999999999"/>
    <n v="312.58061999999995"/>
    <n v="2049.1396199999999"/>
  </r>
  <r>
    <s v="ORD-1098"/>
    <d v="2024-02-21T00:00:00"/>
    <s v="South"/>
    <s v="Meera Joshi"/>
    <x v="2"/>
    <s v="Energy Bar"/>
    <s v="Online"/>
    <n v="33"/>
    <n v="1931.05"/>
    <n v="5"/>
    <n v="18"/>
    <s v="Completed"/>
    <n v="63724.65"/>
    <n v="3186.2325000000001"/>
    <n v="10896.915150000001"/>
    <n v="71435.332649999997"/>
  </r>
  <r>
    <s v="ORD-1099"/>
    <d v="2024-08-28T00:00:00"/>
    <s v="West"/>
    <s v="Arjun Sharma"/>
    <x v="2"/>
    <s v="Coffee Beans"/>
    <s v="Retail Store"/>
    <n v="42"/>
    <n v="1940.21"/>
    <n v="0"/>
    <n v="18"/>
    <s v="Pending"/>
    <n v="81488.820000000007"/>
    <n v="0"/>
    <n v="14667.987600000002"/>
    <n v="96156.807600000015"/>
  </r>
  <r>
    <s v="ORD-1100"/>
    <d v="2024-09-06T00:00:00"/>
    <s v="West"/>
    <s v="Priya Patel"/>
    <x v="3"/>
    <s v="Bookshelf"/>
    <s v="Wholesale"/>
    <n v="25"/>
    <n v="1908.74"/>
    <n v="20"/>
    <n v="18"/>
    <s v="Returned"/>
    <n v="47718.5"/>
    <n v="9543.7000000000007"/>
    <n v="6871.4639999999999"/>
    <n v="45046.264000000003"/>
  </r>
  <r>
    <s v="ORD-1101"/>
    <d v="2024-11-20T00:00:00"/>
    <s v="North"/>
    <s v="Sneha Iyer"/>
    <x v="1"/>
    <s v="Yoga Mat"/>
    <s v="Wholesale"/>
    <n v="48"/>
    <n v="189.85"/>
    <n v="0"/>
    <n v="18"/>
    <s v="Completed"/>
    <n v="9112.7999999999993"/>
    <n v="0"/>
    <n v="1640.3039999999999"/>
    <n v="10753.103999999999"/>
  </r>
  <r>
    <s v="ORD-1102"/>
    <d v="2024-07-02T00:00:00"/>
    <s v="South"/>
    <s v="Vikram Nair"/>
    <x v="0"/>
    <s v="Headphones"/>
    <s v="Online"/>
    <n v="21"/>
    <n v="1594.33"/>
    <n v="5"/>
    <n v="18"/>
    <s v="Completed"/>
    <n v="33480.93"/>
    <n v="1674.0464999999999"/>
    <n v="5725.2390300000006"/>
    <n v="37532.122530000001"/>
  </r>
  <r>
    <s v="ORD-1103"/>
    <d v="2024-03-30T00:00:00"/>
    <s v="South"/>
    <s v="Sneha Iyer"/>
    <x v="3"/>
    <s v="Office Chair"/>
    <s v="Direct Sales"/>
    <n v="44"/>
    <n v="1587.11"/>
    <n v="0"/>
    <n v="18"/>
    <s v="Returned"/>
    <n v="69832.84"/>
    <n v="0"/>
    <n v="12569.911199999999"/>
    <n v="82402.751199999999"/>
  </r>
  <r>
    <s v="ORD-1104"/>
    <d v="2024-05-10T00:00:00"/>
    <s v="West"/>
    <s v="Sneha Iyer"/>
    <x v="0"/>
    <s v="Smartwatch"/>
    <s v="Direct Sales"/>
    <n v="10"/>
    <n v="472.06"/>
    <n v="20"/>
    <n v="18"/>
    <s v="Returned"/>
    <n v="4720.6000000000004"/>
    <n v="944.12"/>
    <n v="679.76640000000009"/>
    <n v="4456.2464000000009"/>
  </r>
  <r>
    <s v="ORD-1105"/>
    <d v="2024-10-27T00:00:00"/>
    <s v="North"/>
    <s v="Meera Joshi"/>
    <x v="2"/>
    <s v="Protein Shake"/>
    <s v="Wholesale"/>
    <n v="11"/>
    <n v="156.99"/>
    <n v="5"/>
    <n v="18"/>
    <s v="Returned"/>
    <n v="1726.89"/>
    <n v="86.344500000000011"/>
    <n v="295.29819000000003"/>
    <n v="1935.8436900000002"/>
  </r>
  <r>
    <s v="ORD-1106"/>
    <d v="2024-05-01T00:00:00"/>
    <s v="East"/>
    <s v="Meera Joshi"/>
    <x v="3"/>
    <s v="Office Chair"/>
    <s v="Wholesale"/>
    <n v="25"/>
    <n v="1708.14"/>
    <n v="0"/>
    <n v="18"/>
    <s v="Completed"/>
    <n v="42703.5"/>
    <n v="0"/>
    <n v="7686.63"/>
    <n v="50390.13"/>
  </r>
  <r>
    <s v="ORD-1107"/>
    <d v="2024-10-16T00:00:00"/>
    <s v="East"/>
    <s v="Vikram Nair"/>
    <x v="2"/>
    <s v="Juice Pack"/>
    <s v="Wholesale"/>
    <n v="43"/>
    <n v="797.65"/>
    <n v="0"/>
    <n v="18"/>
    <s v="Completed"/>
    <n v="34298.949999999997"/>
    <n v="0"/>
    <n v="6173.8109999999997"/>
    <n v="40472.760999999999"/>
  </r>
  <r>
    <s v="ORD-1108"/>
    <d v="2024-11-13T00:00:00"/>
    <s v="West"/>
    <s v="Vikram Nair"/>
    <x v="0"/>
    <s v="Smartwatch"/>
    <s v="Retail Store"/>
    <n v="23"/>
    <n v="445.82"/>
    <n v="0"/>
    <n v="18"/>
    <s v="Returned"/>
    <n v="10253.86"/>
    <n v="0"/>
    <n v="1845.6948000000002"/>
    <n v="12099.554800000002"/>
  </r>
  <r>
    <s v="ORD-1109"/>
    <d v="2024-03-08T00:00:00"/>
    <s v="North"/>
    <s v="Arjun Sharma"/>
    <x v="3"/>
    <s v="Dining Table"/>
    <s v="Wholesale"/>
    <n v="3"/>
    <n v="1163.3499999999999"/>
    <n v="20"/>
    <n v="18"/>
    <s v="Pending"/>
    <n v="3490.0499999999997"/>
    <n v="698.01"/>
    <n v="502.56720000000001"/>
    <n v="3294.6071999999999"/>
  </r>
  <r>
    <s v="ORD-1110"/>
    <d v="2024-09-28T00:00:00"/>
    <s v="East"/>
    <s v="Aditya Kumar"/>
    <x v="0"/>
    <s v="Tablet"/>
    <s v="Retail Store"/>
    <n v="9"/>
    <n v="1575.16"/>
    <n v="5"/>
    <n v="18"/>
    <s v="Completed"/>
    <n v="14176.44"/>
    <n v="708.822"/>
    <n v="2424.1712400000001"/>
    <n v="15891.78924"/>
  </r>
  <r>
    <s v="ORD-1111"/>
    <d v="2024-08-27T00:00:00"/>
    <s v="South"/>
    <s v="Vikram Nair"/>
    <x v="1"/>
    <s v="Cycling Helmet"/>
    <s v="Direct Sales"/>
    <n v="48"/>
    <n v="1742.09"/>
    <n v="0"/>
    <n v="18"/>
    <s v="Completed"/>
    <n v="83620.319999999992"/>
    <n v="0"/>
    <n v="15051.657599999999"/>
    <n v="98671.977599999984"/>
  </r>
  <r>
    <s v="ORD-1112"/>
    <d v="2024-03-04T00:00:00"/>
    <s v="South"/>
    <s v="Aditya Kumar"/>
    <x v="0"/>
    <s v="Smartphone"/>
    <s v="Wholesale"/>
    <n v="26"/>
    <n v="37.700000000000003"/>
    <n v="15"/>
    <n v="18"/>
    <s v="Completed"/>
    <n v="980.2"/>
    <n v="147.03"/>
    <n v="149.97060000000002"/>
    <n v="983.14060000000006"/>
  </r>
  <r>
    <s v="ORD-1113"/>
    <d v="2024-11-13T00:00:00"/>
    <s v="East"/>
    <s v="Aditya Kumar"/>
    <x v="2"/>
    <s v="Protein Shake"/>
    <s v="Wholesale"/>
    <n v="44"/>
    <n v="475.31"/>
    <n v="0"/>
    <n v="18"/>
    <s v="Completed"/>
    <n v="20913.64"/>
    <n v="0"/>
    <n v="3764.4552000000003"/>
    <n v="24678.0952"/>
  </r>
  <r>
    <s v="ORD-1114"/>
    <d v="2024-01-24T00:00:00"/>
    <s v="South"/>
    <s v="Priya Patel"/>
    <x v="1"/>
    <s v="Cycling Helmet"/>
    <s v="Direct Sales"/>
    <n v="42"/>
    <n v="822.51"/>
    <n v="0"/>
    <n v="18"/>
    <s v="Completed"/>
    <n v="34545.42"/>
    <n v="0"/>
    <n v="6218.1755999999996"/>
    <n v="40763.595600000001"/>
  </r>
  <r>
    <s v="ORD-1115"/>
    <d v="2024-07-08T00:00:00"/>
    <s v="West"/>
    <s v="Priya Patel"/>
    <x v="0"/>
    <s v="Tablet"/>
    <s v="Online"/>
    <n v="35"/>
    <n v="279.97000000000003"/>
    <n v="10"/>
    <n v="18"/>
    <s v="Completed"/>
    <n v="9798.9500000000007"/>
    <n v="979.89499999999998"/>
    <n v="1587.4298999999999"/>
    <n v="10406.484899999999"/>
  </r>
  <r>
    <s v="ORD-1116"/>
    <d v="2024-01-17T00:00:00"/>
    <s v="South"/>
    <s v="Aditya Kumar"/>
    <x v="1"/>
    <s v="Running Shoes"/>
    <s v="Online"/>
    <n v="40"/>
    <n v="822.15"/>
    <n v="5"/>
    <n v="18"/>
    <s v="Pending"/>
    <n v="32886"/>
    <n v="1644.3"/>
    <n v="5623.5059999999994"/>
    <n v="36865.205999999998"/>
  </r>
  <r>
    <s v="ORD-1117"/>
    <d v="2024-10-05T00:00:00"/>
    <s v="West"/>
    <s v="Meera Joshi"/>
    <x v="3"/>
    <s v="Dining Table"/>
    <s v="Retail Store"/>
    <n v="7"/>
    <n v="1962.05"/>
    <n v="5"/>
    <n v="18"/>
    <s v="Completed"/>
    <n v="13734.35"/>
    <n v="686.71749999999997"/>
    <n v="2348.5738500000002"/>
    <n v="15396.20635"/>
  </r>
  <r>
    <s v="ORD-1118"/>
    <d v="2024-11-24T00:00:00"/>
    <s v="West"/>
    <s v="Vikram Nair"/>
    <x v="3"/>
    <s v="Sofa"/>
    <s v="Retail Store"/>
    <n v="30"/>
    <n v="192.43"/>
    <n v="0"/>
    <n v="18"/>
    <s v="Completed"/>
    <n v="5772.9000000000005"/>
    <n v="0"/>
    <n v="1039.1220000000001"/>
    <n v="6812.0220000000008"/>
  </r>
  <r>
    <s v="ORD-1119"/>
    <d v="2024-04-16T00:00:00"/>
    <s v="North"/>
    <s v="Kavya Reddy"/>
    <x v="1"/>
    <s v="Yoga Mat"/>
    <s v="Retail Store"/>
    <n v="37"/>
    <n v="418.36"/>
    <n v="15"/>
    <n v="18"/>
    <s v="Completed"/>
    <n v="15479.32"/>
    <n v="2321.8979999999997"/>
    <n v="2368.3359600000003"/>
    <n v="15525.757960000001"/>
  </r>
  <r>
    <s v="ORD-1120"/>
    <d v="2024-03-07T00:00:00"/>
    <s v="South"/>
    <s v="Kavya Reddy"/>
    <x v="1"/>
    <s v="Dumbbells"/>
    <s v="Retail Store"/>
    <n v="1"/>
    <n v="561.78"/>
    <n v="0"/>
    <n v="18"/>
    <s v="Returned"/>
    <n v="561.78"/>
    <n v="0"/>
    <n v="101.12039999999999"/>
    <n v="662.90039999999999"/>
  </r>
  <r>
    <s v="ORD-1121"/>
    <d v="2024-10-28T00:00:00"/>
    <s v="South"/>
    <s v="Priya Patel"/>
    <x v="1"/>
    <s v="Cycling Helmet"/>
    <s v="Online"/>
    <n v="1"/>
    <n v="722.9"/>
    <n v="0"/>
    <n v="18"/>
    <s v="Completed"/>
    <n v="722.9"/>
    <n v="0"/>
    <n v="130.12199999999999"/>
    <n v="853.02199999999993"/>
  </r>
  <r>
    <s v="ORD-1122"/>
    <d v="2024-02-02T00:00:00"/>
    <s v="South"/>
    <s v="Vikram Nair"/>
    <x v="3"/>
    <s v="Sofa"/>
    <s v="Online"/>
    <n v="48"/>
    <n v="847.71"/>
    <n v="0"/>
    <n v="18"/>
    <s v="Completed"/>
    <n v="40690.080000000002"/>
    <n v="0"/>
    <n v="7324.2144000000008"/>
    <n v="48014.294399999999"/>
  </r>
  <r>
    <s v="ORD-1123"/>
    <d v="2024-12-03T00:00:00"/>
    <s v="East"/>
    <s v="Priya Patel"/>
    <x v="2"/>
    <s v="Energy Bar"/>
    <s v="Direct Sales"/>
    <n v="15"/>
    <n v="1891.38"/>
    <n v="0"/>
    <n v="18"/>
    <s v="Returned"/>
    <n v="28370.7"/>
    <n v="0"/>
    <n v="5106.7260000000006"/>
    <n v="33477.425999999999"/>
  </r>
  <r>
    <s v="ORD-1124"/>
    <d v="2024-09-08T00:00:00"/>
    <s v="West"/>
    <s v="Arjun Sharma"/>
    <x v="1"/>
    <s v="Cycling Helmet"/>
    <s v="Online"/>
    <n v="26"/>
    <n v="858.28"/>
    <n v="0"/>
    <n v="18"/>
    <s v="Pending"/>
    <n v="22315.279999999999"/>
    <n v="0"/>
    <n v="4016.7503999999999"/>
    <n v="26332.0304"/>
  </r>
  <r>
    <s v="ORD-1125"/>
    <d v="2024-10-26T00:00:00"/>
    <s v="North"/>
    <s v="Kavya Reddy"/>
    <x v="2"/>
    <s v="Coffee Beans"/>
    <s v="Retail Store"/>
    <n v="9"/>
    <n v="557.28"/>
    <n v="20"/>
    <n v="18"/>
    <s v="Completed"/>
    <n v="5015.5199999999995"/>
    <n v="1003.1039999999999"/>
    <n v="722.23487999999998"/>
    <n v="4734.6508799999992"/>
  </r>
  <r>
    <s v="ORD-1126"/>
    <d v="2024-02-28T00:00:00"/>
    <s v="West"/>
    <s v="Vikram Nair"/>
    <x v="1"/>
    <s v="Cycling Helmet"/>
    <s v="Direct Sales"/>
    <n v="39"/>
    <n v="866.1"/>
    <n v="20"/>
    <n v="18"/>
    <s v="Returned"/>
    <n v="33777.9"/>
    <n v="6755.58"/>
    <n v="4864.0176000000001"/>
    <n v="31886.337599999999"/>
  </r>
  <r>
    <s v="ORD-1127"/>
    <d v="2024-07-31T00:00:00"/>
    <s v="West"/>
    <s v="Meera Joshi"/>
    <x v="1"/>
    <s v="Dumbbells"/>
    <s v="Retail Store"/>
    <n v="22"/>
    <n v="1656.56"/>
    <n v="10"/>
    <n v="18"/>
    <s v="Pending"/>
    <n v="36444.32"/>
    <n v="3644.4320000000002"/>
    <n v="5903.9798399999991"/>
    <n v="38703.867839999999"/>
  </r>
  <r>
    <s v="ORD-1128"/>
    <d v="2024-02-04T00:00:00"/>
    <s v="West"/>
    <s v="Kavya Reddy"/>
    <x v="0"/>
    <s v="Tablet"/>
    <s v="Wholesale"/>
    <n v="10"/>
    <n v="1376.77"/>
    <n v="10"/>
    <n v="18"/>
    <s v="Completed"/>
    <n v="13767.7"/>
    <n v="1376.77"/>
    <n v="2230.3674000000001"/>
    <n v="14621.297399999999"/>
  </r>
  <r>
    <s v="ORD-1129"/>
    <d v="2024-10-14T00:00:00"/>
    <s v="North"/>
    <s v="Aditya Kumar"/>
    <x v="0"/>
    <s v="Laptop"/>
    <s v="Online"/>
    <n v="9"/>
    <n v="1117.18"/>
    <n v="15"/>
    <n v="18"/>
    <s v="Completed"/>
    <n v="10054.620000000001"/>
    <n v="1508.1930000000002"/>
    <n v="1538.3568599999999"/>
    <n v="10084.78386"/>
  </r>
  <r>
    <s v="ORD-1130"/>
    <d v="2024-11-03T00:00:00"/>
    <s v="North"/>
    <s v="Aditya Kumar"/>
    <x v="1"/>
    <s v="Cycling Helmet"/>
    <s v="Wholesale"/>
    <n v="47"/>
    <n v="112.38"/>
    <n v="5"/>
    <n v="18"/>
    <s v="Pending"/>
    <n v="5281.86"/>
    <n v="264.09300000000002"/>
    <n v="903.19805999999994"/>
    <n v="5920.9650599999995"/>
  </r>
  <r>
    <s v="ORD-1131"/>
    <d v="2024-10-11T00:00:00"/>
    <s v="North"/>
    <s v="Sneha Iyer"/>
    <x v="3"/>
    <s v="Bookshelf"/>
    <s v="Retail Store"/>
    <n v="15"/>
    <n v="1696.08"/>
    <n v="5"/>
    <n v="18"/>
    <s v="Pending"/>
    <n v="25441.199999999997"/>
    <n v="1272.06"/>
    <n v="4350.4451999999992"/>
    <n v="28519.585199999994"/>
  </r>
  <r>
    <s v="ORD-1132"/>
    <d v="2024-12-11T00:00:00"/>
    <s v="East"/>
    <s v="Sneha Iyer"/>
    <x v="3"/>
    <s v="Sofa"/>
    <s v="Direct Sales"/>
    <n v="50"/>
    <n v="1638.67"/>
    <n v="15"/>
    <n v="18"/>
    <s v="Returned"/>
    <n v="81933.5"/>
    <n v="12290.025"/>
    <n v="12535.825500000001"/>
    <n v="82179.300500000012"/>
  </r>
  <r>
    <s v="ORD-1133"/>
    <d v="2024-06-28T00:00:00"/>
    <s v="East"/>
    <s v="Arjun Sharma"/>
    <x v="1"/>
    <s v="Yoga Mat"/>
    <s v="Retail Store"/>
    <n v="45"/>
    <n v="1527.19"/>
    <n v="5"/>
    <n v="18"/>
    <s v="Completed"/>
    <n v="68723.55"/>
    <n v="3436.1774999999998"/>
    <n v="11751.727050000001"/>
    <n v="77039.099550000014"/>
  </r>
  <r>
    <s v="ORD-1134"/>
    <d v="2024-02-16T00:00:00"/>
    <s v="South"/>
    <s v="Aditya Kumar"/>
    <x v="0"/>
    <s v="Smartphone"/>
    <s v="Online"/>
    <n v="48"/>
    <n v="1270.01"/>
    <n v="0"/>
    <n v="18"/>
    <s v="Completed"/>
    <n v="60960.479999999996"/>
    <n v="0"/>
    <n v="10972.886399999999"/>
    <n v="71933.366399999999"/>
  </r>
  <r>
    <s v="ORD-1135"/>
    <d v="2024-06-15T00:00:00"/>
    <s v="West"/>
    <s v="Aditya Kumar"/>
    <x v="1"/>
    <s v="Dumbbells"/>
    <s v="Direct Sales"/>
    <n v="11"/>
    <n v="746.41"/>
    <n v="20"/>
    <n v="18"/>
    <s v="Completed"/>
    <n v="8210.51"/>
    <n v="1642.1020000000001"/>
    <n v="1182.3134400000001"/>
    <n v="7750.7214400000003"/>
  </r>
  <r>
    <s v="ORD-1136"/>
    <d v="2024-02-11T00:00:00"/>
    <s v="North"/>
    <s v="Arjun Sharma"/>
    <x v="1"/>
    <s v="Tennis Racket"/>
    <s v="Retail Store"/>
    <n v="49"/>
    <n v="1239.5"/>
    <n v="20"/>
    <n v="18"/>
    <s v="Completed"/>
    <n v="60735.5"/>
    <n v="12147.1"/>
    <n v="8745.9120000000003"/>
    <n v="57334.312000000005"/>
  </r>
  <r>
    <s v="ORD-1137"/>
    <d v="2024-02-28T00:00:00"/>
    <s v="West"/>
    <s v="Meera Joshi"/>
    <x v="3"/>
    <s v="Office Chair"/>
    <s v="Direct Sales"/>
    <n v="18"/>
    <n v="438.98"/>
    <n v="15"/>
    <n v="18"/>
    <s v="Pending"/>
    <n v="7901.64"/>
    <n v="1185.2460000000001"/>
    <n v="1208.95092"/>
    <n v="7925.3449200000005"/>
  </r>
  <r>
    <s v="ORD-1138"/>
    <d v="2024-07-21T00:00:00"/>
    <s v="North"/>
    <s v="Vikram Nair"/>
    <x v="3"/>
    <s v="Office Chair"/>
    <s v="Direct Sales"/>
    <n v="43"/>
    <n v="623.75"/>
    <n v="0"/>
    <n v="18"/>
    <s v="Returned"/>
    <n v="26821.25"/>
    <n v="0"/>
    <n v="4827.8249999999998"/>
    <n v="31649.075000000001"/>
  </r>
  <r>
    <s v="ORD-1139"/>
    <d v="2024-05-28T00:00:00"/>
    <s v="North"/>
    <s v="Sneha Iyer"/>
    <x v="1"/>
    <s v="Yoga Mat"/>
    <s v="Wholesale"/>
    <n v="50"/>
    <n v="283.10000000000002"/>
    <n v="5"/>
    <n v="18"/>
    <s v="Completed"/>
    <n v="14155.000000000002"/>
    <n v="707.75000000000011"/>
    <n v="2420.5050000000001"/>
    <n v="15867.755000000001"/>
  </r>
  <r>
    <s v="ORD-1140"/>
    <d v="2024-04-27T00:00:00"/>
    <s v="North"/>
    <s v="Meera Joshi"/>
    <x v="3"/>
    <s v="Sofa"/>
    <s v="Direct Sales"/>
    <n v="9"/>
    <n v="766.61"/>
    <n v="20"/>
    <n v="18"/>
    <s v="Completed"/>
    <n v="6899.49"/>
    <n v="1379.8979999999999"/>
    <n v="993.5265599999999"/>
    <n v="6513.1185599999999"/>
  </r>
  <r>
    <s v="ORD-1141"/>
    <d v="2024-06-09T00:00:00"/>
    <s v="East"/>
    <s v="Priya Patel"/>
    <x v="1"/>
    <s v="Tennis Racket"/>
    <s v="Direct Sales"/>
    <n v="28"/>
    <n v="47.3"/>
    <n v="0"/>
    <n v="18"/>
    <s v="Completed"/>
    <n v="1324.3999999999999"/>
    <n v="0"/>
    <n v="238.39199999999997"/>
    <n v="1562.7919999999999"/>
  </r>
  <r>
    <s v="ORD-1142"/>
    <d v="2024-03-28T00:00:00"/>
    <s v="West"/>
    <s v="Aditya Kumar"/>
    <x v="1"/>
    <s v="Running Shoes"/>
    <s v="Wholesale"/>
    <n v="26"/>
    <n v="51.5"/>
    <n v="5"/>
    <n v="18"/>
    <s v="Completed"/>
    <n v="1339"/>
    <n v="66.95"/>
    <n v="228.96899999999997"/>
    <n v="1501.019"/>
  </r>
  <r>
    <s v="ORD-1143"/>
    <d v="2024-09-25T00:00:00"/>
    <s v="East"/>
    <s v="Priya Patel"/>
    <x v="1"/>
    <s v="Running Shoes"/>
    <s v="Direct Sales"/>
    <n v="16"/>
    <n v="877"/>
    <n v="10"/>
    <n v="18"/>
    <s v="Completed"/>
    <n v="14032"/>
    <n v="1403.2"/>
    <n v="2273.1839999999997"/>
    <n v="14901.983999999999"/>
  </r>
  <r>
    <s v="ORD-1144"/>
    <d v="2024-11-20T00:00:00"/>
    <s v="East"/>
    <s v="Kavya Reddy"/>
    <x v="0"/>
    <s v="Headphones"/>
    <s v="Retail Store"/>
    <n v="50"/>
    <n v="344.58"/>
    <n v="15"/>
    <n v="18"/>
    <s v="Completed"/>
    <n v="17229"/>
    <n v="2584.35"/>
    <n v="2636.0370000000003"/>
    <n v="17280.686999999998"/>
  </r>
  <r>
    <s v="ORD-1145"/>
    <d v="2024-04-11T00:00:00"/>
    <s v="South"/>
    <s v="Kavya Reddy"/>
    <x v="0"/>
    <s v="Smartwatch"/>
    <s v="Wholesale"/>
    <n v="16"/>
    <n v="214.58"/>
    <n v="5"/>
    <n v="18"/>
    <s v="Completed"/>
    <n v="3433.28"/>
    <n v="171.66400000000002"/>
    <n v="587.09088000000008"/>
    <n v="3848.7068800000002"/>
  </r>
  <r>
    <s v="ORD-1146"/>
    <d v="2024-08-17T00:00:00"/>
    <s v="South"/>
    <s v="Priya Patel"/>
    <x v="4"/>
    <s v="Sneakers"/>
    <s v="Retail Store"/>
    <n v="30"/>
    <n v="1511.35"/>
    <n v="15"/>
    <n v="18"/>
    <s v="Pending"/>
    <n v="45340.5"/>
    <n v="6801.0749999999998"/>
    <n v="6937.0965000000006"/>
    <n v="45476.521500000003"/>
  </r>
  <r>
    <s v="ORD-1147"/>
    <d v="2024-06-04T00:00:00"/>
    <s v="East"/>
    <s v="Kavya Reddy"/>
    <x v="1"/>
    <s v="Tennis Racket"/>
    <s v="Retail Store"/>
    <n v="5"/>
    <n v="943.15"/>
    <n v="20"/>
    <n v="18"/>
    <s v="Pending"/>
    <n v="4715.75"/>
    <n v="943.15"/>
    <n v="679.06799999999998"/>
    <n v="4451.6679999999997"/>
  </r>
  <r>
    <s v="ORD-1148"/>
    <d v="2024-07-07T00:00:00"/>
    <s v="North"/>
    <s v="Kavya Reddy"/>
    <x v="3"/>
    <s v="Wardrobe"/>
    <s v="Online"/>
    <n v="30"/>
    <n v="909.31"/>
    <n v="0"/>
    <n v="18"/>
    <s v="Completed"/>
    <n v="27279.3"/>
    <n v="0"/>
    <n v="4910.2739999999994"/>
    <n v="32189.574000000001"/>
  </r>
  <r>
    <s v="ORD-1149"/>
    <d v="2024-01-22T00:00:00"/>
    <s v="North"/>
    <s v="Aditya Kumar"/>
    <x v="3"/>
    <s v="Sofa"/>
    <s v="Direct Sales"/>
    <n v="36"/>
    <n v="1908.92"/>
    <n v="20"/>
    <n v="18"/>
    <s v="Returned"/>
    <n v="68721.119999999995"/>
    <n v="13744.223999999998"/>
    <n v="9895.8412799999987"/>
    <n v="64872.737279999994"/>
  </r>
  <r>
    <s v="ORD-1150"/>
    <d v="2024-02-22T00:00:00"/>
    <s v="South"/>
    <s v="Kavya Reddy"/>
    <x v="2"/>
    <s v="Juice Pack"/>
    <s v="Direct Sales"/>
    <n v="10"/>
    <n v="1915.87"/>
    <n v="10"/>
    <n v="18"/>
    <s v="Returned"/>
    <n v="19158.699999999997"/>
    <n v="1915.8699999999997"/>
    <n v="3103.7093999999993"/>
    <n v="20346.539399999998"/>
  </r>
  <r>
    <s v="ORD-1151"/>
    <d v="2024-03-22T00:00:00"/>
    <s v="South"/>
    <s v="Arjun Sharma"/>
    <x v="3"/>
    <s v="Sofa"/>
    <s v="Retail Store"/>
    <n v="29"/>
    <n v="1052.9000000000001"/>
    <n v="15"/>
    <n v="18"/>
    <s v="Pending"/>
    <n v="30534.100000000002"/>
    <n v="4580.1150000000007"/>
    <n v="4671.7173000000003"/>
    <n v="30625.702300000001"/>
  </r>
  <r>
    <s v="ORD-1152"/>
    <d v="2024-11-27T00:00:00"/>
    <s v="East"/>
    <s v="Aditya Kumar"/>
    <x v="3"/>
    <s v="Bookshelf"/>
    <s v="Direct Sales"/>
    <n v="44"/>
    <n v="1199.79"/>
    <n v="20"/>
    <n v="18"/>
    <s v="Completed"/>
    <n v="52790.759999999995"/>
    <n v="10558.152"/>
    <n v="7601.8694399999986"/>
    <n v="49834.477439999988"/>
  </r>
  <r>
    <s v="ORD-1153"/>
    <d v="2024-11-04T00:00:00"/>
    <s v="East"/>
    <s v="Priya Patel"/>
    <x v="3"/>
    <s v="Sofa"/>
    <s v="Direct Sales"/>
    <n v="17"/>
    <n v="1450.23"/>
    <n v="20"/>
    <n v="18"/>
    <s v="Completed"/>
    <n v="24653.91"/>
    <n v="4930.7820000000002"/>
    <n v="3550.1630399999999"/>
    <n v="23273.29104"/>
  </r>
  <r>
    <s v="ORD-1154"/>
    <d v="2024-03-07T00:00:00"/>
    <s v="North"/>
    <s v="Rahul Mehta"/>
    <x v="4"/>
    <s v="Jacket"/>
    <s v="Wholesale"/>
    <n v="42"/>
    <n v="1399.98"/>
    <n v="10"/>
    <n v="18"/>
    <s v="Completed"/>
    <n v="58799.16"/>
    <n v="5879.9160000000011"/>
    <n v="9525.463920000002"/>
    <n v="62444.707920000008"/>
  </r>
  <r>
    <s v="ORD-1155"/>
    <d v="2024-12-16T00:00:00"/>
    <s v="East"/>
    <s v="Aditya Kumar"/>
    <x v="1"/>
    <s v="Yoga Mat"/>
    <s v="Wholesale"/>
    <n v="43"/>
    <n v="1408.63"/>
    <n v="20"/>
    <n v="18"/>
    <s v="Completed"/>
    <n v="60571.090000000004"/>
    <n v="12114.218000000001"/>
    <n v="8722.2369600000002"/>
    <n v="57179.108960000005"/>
  </r>
  <r>
    <s v="ORD-1156"/>
    <d v="2024-06-23T00:00:00"/>
    <s v="West"/>
    <s v="Kavya Reddy"/>
    <x v="1"/>
    <s v="Yoga Mat"/>
    <s v="Online"/>
    <n v="20"/>
    <n v="368.72"/>
    <n v="0"/>
    <n v="18"/>
    <s v="Completed"/>
    <n v="7374.4000000000005"/>
    <n v="0"/>
    <n v="1327.3920000000001"/>
    <n v="8701.7920000000013"/>
  </r>
  <r>
    <s v="ORD-1157"/>
    <d v="2024-09-16T00:00:00"/>
    <s v="South"/>
    <s v="Rahul Mehta"/>
    <x v="2"/>
    <s v="Organic Tea"/>
    <s v="Retail Store"/>
    <n v="19"/>
    <n v="1690.41"/>
    <n v="0"/>
    <n v="18"/>
    <s v="Completed"/>
    <n v="32117.79"/>
    <n v="0"/>
    <n v="5781.2021999999997"/>
    <n v="37898.992200000001"/>
  </r>
  <r>
    <s v="ORD-1158"/>
    <d v="2024-12-20T00:00:00"/>
    <s v="North"/>
    <s v="Kavya Reddy"/>
    <x v="1"/>
    <s v="Tennis Racket"/>
    <s v="Retail Store"/>
    <n v="25"/>
    <n v="316.95999999999998"/>
    <n v="0"/>
    <n v="18"/>
    <s v="Returned"/>
    <n v="7923.9999999999991"/>
    <n v="0"/>
    <n v="1426.3199999999997"/>
    <n v="9350.32"/>
  </r>
  <r>
    <s v="ORD-1159"/>
    <d v="2024-11-08T00:00:00"/>
    <s v="West"/>
    <s v="Arjun Sharma"/>
    <x v="1"/>
    <s v="Dumbbells"/>
    <s v="Direct Sales"/>
    <n v="44"/>
    <n v="1441.98"/>
    <n v="10"/>
    <n v="18"/>
    <s v="Completed"/>
    <n v="63447.12"/>
    <n v="6344.7120000000004"/>
    <n v="10278.433440000001"/>
    <n v="67380.841440000004"/>
  </r>
  <r>
    <s v="ORD-1160"/>
    <d v="2024-08-13T00:00:00"/>
    <s v="South"/>
    <s v="Sneha Iyer"/>
    <x v="3"/>
    <s v="Office Chair"/>
    <s v="Wholesale"/>
    <n v="13"/>
    <n v="742"/>
    <n v="15"/>
    <n v="18"/>
    <s v="Pending"/>
    <n v="9646"/>
    <n v="1446.9"/>
    <n v="1475.8380000000002"/>
    <n v="9674.9380000000001"/>
  </r>
  <r>
    <s v="ORD-1161"/>
    <d v="2024-01-27T00:00:00"/>
    <s v="West"/>
    <s v="Aditya Kumar"/>
    <x v="2"/>
    <s v="Protein Shake"/>
    <s v="Retail Store"/>
    <n v="39"/>
    <n v="285.41000000000003"/>
    <n v="5"/>
    <n v="18"/>
    <s v="Completed"/>
    <n v="11130.990000000002"/>
    <n v="556.54950000000008"/>
    <n v="1903.3992900000001"/>
    <n v="12477.83979"/>
  </r>
  <r>
    <s v="ORD-1162"/>
    <d v="2024-09-19T00:00:00"/>
    <s v="North"/>
    <s v="Priya Patel"/>
    <x v="2"/>
    <s v="Protein Shake"/>
    <s v="Wholesale"/>
    <n v="49"/>
    <n v="329.02"/>
    <n v="10"/>
    <n v="18"/>
    <s v="Completed"/>
    <n v="16121.98"/>
    <n v="1612.1979999999999"/>
    <n v="2611.7607600000001"/>
    <n v="17121.54276"/>
  </r>
  <r>
    <s v="ORD-1163"/>
    <d v="2024-09-14T00:00:00"/>
    <s v="North"/>
    <s v="Sneha Iyer"/>
    <x v="4"/>
    <s v="Dress"/>
    <s v="Direct Sales"/>
    <n v="2"/>
    <n v="835.64"/>
    <n v="10"/>
    <n v="18"/>
    <s v="Completed"/>
    <n v="1671.28"/>
    <n v="167.12799999999999"/>
    <n v="270.74736000000001"/>
    <n v="1774.8993600000001"/>
  </r>
  <r>
    <s v="ORD-1164"/>
    <d v="2024-11-28T00:00:00"/>
    <s v="West"/>
    <s v="Priya Patel"/>
    <x v="3"/>
    <s v="Dining Table"/>
    <s v="Wholesale"/>
    <n v="2"/>
    <n v="644.17999999999995"/>
    <n v="0"/>
    <n v="18"/>
    <s v="Completed"/>
    <n v="1288.3599999999999"/>
    <n v="0"/>
    <n v="231.90479999999999"/>
    <n v="1520.2647999999999"/>
  </r>
  <r>
    <s v="ORD-1165"/>
    <d v="2024-08-28T00:00:00"/>
    <s v="South"/>
    <s v="Arjun Sharma"/>
    <x v="3"/>
    <s v="Dining Table"/>
    <s v="Wholesale"/>
    <n v="45"/>
    <n v="1663.91"/>
    <n v="20"/>
    <n v="18"/>
    <s v="Pending"/>
    <n v="74875.95"/>
    <n v="14975.19"/>
    <n v="10782.1368"/>
    <n v="70682.896799999988"/>
  </r>
  <r>
    <s v="ORD-1166"/>
    <d v="2024-11-07T00:00:00"/>
    <s v="North"/>
    <s v="Priya Patel"/>
    <x v="2"/>
    <s v="Juice Pack"/>
    <s v="Online"/>
    <n v="14"/>
    <n v="1671.58"/>
    <n v="15"/>
    <n v="18"/>
    <s v="Completed"/>
    <n v="23402.12"/>
    <n v="3510.3179999999998"/>
    <n v="3580.5243599999999"/>
    <n v="23472.326359999999"/>
  </r>
  <r>
    <s v="ORD-1167"/>
    <d v="2024-11-23T00:00:00"/>
    <s v="North"/>
    <s v="Vikram Nair"/>
    <x v="1"/>
    <s v="Running Shoes"/>
    <s v="Retail Store"/>
    <n v="8"/>
    <n v="105.02"/>
    <n v="10"/>
    <n v="18"/>
    <s v="Completed"/>
    <n v="840.16"/>
    <n v="84.016000000000005"/>
    <n v="136.10592"/>
    <n v="892.24991999999997"/>
  </r>
  <r>
    <s v="ORD-1168"/>
    <d v="2024-10-21T00:00:00"/>
    <s v="North"/>
    <s v="Priya Patel"/>
    <x v="1"/>
    <s v="Running Shoes"/>
    <s v="Direct Sales"/>
    <n v="35"/>
    <n v="42.71"/>
    <n v="15"/>
    <n v="18"/>
    <s v="Returned"/>
    <n v="1494.8500000000001"/>
    <n v="224.22750000000005"/>
    <n v="228.71205"/>
    <n v="1499.3345500000003"/>
  </r>
  <r>
    <s v="ORD-1169"/>
    <d v="2024-04-05T00:00:00"/>
    <s v="East"/>
    <s v="Aditya Kumar"/>
    <x v="4"/>
    <s v="Jeans"/>
    <s v="Online"/>
    <n v="23"/>
    <n v="488.72"/>
    <n v="10"/>
    <n v="18"/>
    <s v="Returned"/>
    <n v="11240.560000000001"/>
    <n v="1124.056"/>
    <n v="1820.9707200000003"/>
    <n v="11937.474720000002"/>
  </r>
  <r>
    <s v="ORD-1170"/>
    <d v="2024-07-10T00:00:00"/>
    <s v="East"/>
    <s v="Priya Patel"/>
    <x v="0"/>
    <s v="Smartwatch"/>
    <s v="Online"/>
    <n v="31"/>
    <n v="96.63"/>
    <n v="10"/>
    <n v="18"/>
    <s v="Pending"/>
    <n v="2995.5299999999997"/>
    <n v="299.55299999999994"/>
    <n v="485.27585999999997"/>
    <n v="3181.2528599999996"/>
  </r>
  <r>
    <s v="ORD-1171"/>
    <d v="2024-10-24T00:00:00"/>
    <s v="East"/>
    <s v="Priya Patel"/>
    <x v="3"/>
    <s v="Sofa"/>
    <s v="Wholesale"/>
    <n v="47"/>
    <n v="1317.64"/>
    <n v="0"/>
    <n v="18"/>
    <s v="Completed"/>
    <n v="61929.08"/>
    <n v="0"/>
    <n v="11147.234399999999"/>
    <n v="73076.314400000003"/>
  </r>
  <r>
    <s v="ORD-1172"/>
    <d v="2024-09-02T00:00:00"/>
    <s v="North"/>
    <s v="Kavya Reddy"/>
    <x v="3"/>
    <s v="Dining Table"/>
    <s v="Wholesale"/>
    <n v="50"/>
    <n v="1372.52"/>
    <n v="20"/>
    <n v="18"/>
    <s v="Completed"/>
    <n v="68626"/>
    <n v="13725.2"/>
    <n v="9882.1440000000002"/>
    <n v="64782.944000000003"/>
  </r>
  <r>
    <s v="ORD-1173"/>
    <d v="2024-01-22T00:00:00"/>
    <s v="North"/>
    <s v="Meera Joshi"/>
    <x v="4"/>
    <s v="Jeans"/>
    <s v="Online"/>
    <n v="13"/>
    <n v="97.17"/>
    <n v="0"/>
    <n v="18"/>
    <s v="Completed"/>
    <n v="1263.21"/>
    <n v="0"/>
    <n v="227.37779999999998"/>
    <n v="1490.5878"/>
  </r>
  <r>
    <s v="ORD-1174"/>
    <d v="2024-07-01T00:00:00"/>
    <s v="West"/>
    <s v="Meera Joshi"/>
    <x v="3"/>
    <s v="Bookshelf"/>
    <s v="Wholesale"/>
    <n v="49"/>
    <n v="1297.33"/>
    <n v="5"/>
    <n v="18"/>
    <s v="Completed"/>
    <n v="63569.17"/>
    <n v="3178.4584999999997"/>
    <n v="10870.32807"/>
    <n v="71261.039569999994"/>
  </r>
  <r>
    <s v="ORD-1175"/>
    <d v="2024-06-22T00:00:00"/>
    <s v="East"/>
    <s v="Priya Patel"/>
    <x v="0"/>
    <s v="Tablet"/>
    <s v="Wholesale"/>
    <n v="26"/>
    <n v="1489.18"/>
    <n v="10"/>
    <n v="18"/>
    <s v="Pending"/>
    <n v="38718.68"/>
    <n v="3871.8679999999999"/>
    <n v="6272.4261599999991"/>
    <n v="41119.238159999994"/>
  </r>
  <r>
    <s v="ORD-1176"/>
    <d v="2024-11-04T00:00:00"/>
    <s v="West"/>
    <s v="Kavya Reddy"/>
    <x v="4"/>
    <s v="Dress"/>
    <s v="Wholesale"/>
    <n v="47"/>
    <n v="854.75"/>
    <n v="10"/>
    <n v="18"/>
    <s v="Completed"/>
    <n v="40173.25"/>
    <n v="4017.3249999999998"/>
    <n v="6508.0664999999999"/>
    <n v="42663.991500000004"/>
  </r>
  <r>
    <s v="ORD-1177"/>
    <d v="2024-08-16T00:00:00"/>
    <s v="East"/>
    <s v="Kavya Reddy"/>
    <x v="4"/>
    <s v="Sneakers"/>
    <s v="Online"/>
    <n v="21"/>
    <n v="1325.23"/>
    <n v="5"/>
    <n v="18"/>
    <s v="Completed"/>
    <n v="27829.83"/>
    <n v="1391.4915000000003"/>
    <n v="4758.9009300000007"/>
    <n v="31197.239430000001"/>
  </r>
  <r>
    <s v="ORD-1178"/>
    <d v="2024-11-10T00:00:00"/>
    <s v="South"/>
    <s v="Meera Joshi"/>
    <x v="1"/>
    <s v="Running Shoes"/>
    <s v="Wholesale"/>
    <n v="3"/>
    <n v="1456.36"/>
    <n v="5"/>
    <n v="18"/>
    <s v="Pending"/>
    <n v="4369.08"/>
    <n v="218.45400000000001"/>
    <n v="747.11268000000007"/>
    <n v="4897.7386800000004"/>
  </r>
  <r>
    <s v="ORD-1179"/>
    <d v="2024-03-22T00:00:00"/>
    <s v="North"/>
    <s v="Priya Patel"/>
    <x v="2"/>
    <s v="Protein Shake"/>
    <s v="Direct Sales"/>
    <n v="33"/>
    <n v="1604.18"/>
    <n v="20"/>
    <n v="18"/>
    <s v="Completed"/>
    <n v="52937.94"/>
    <n v="10587.588"/>
    <n v="7623.0633600000001"/>
    <n v="49973.415359999999"/>
  </r>
  <r>
    <s v="ORD-1180"/>
    <d v="2024-07-04T00:00:00"/>
    <s v="West"/>
    <s v="Arjun Sharma"/>
    <x v="0"/>
    <s v="Smartphone"/>
    <s v="Retail Store"/>
    <n v="16"/>
    <n v="1559.25"/>
    <n v="5"/>
    <n v="18"/>
    <s v="Completed"/>
    <n v="24948"/>
    <n v="1247.4000000000001"/>
    <n v="4266.1080000000002"/>
    <n v="27966.707999999999"/>
  </r>
  <r>
    <s v="ORD-1181"/>
    <d v="2024-10-20T00:00:00"/>
    <s v="North"/>
    <s v="Rahul Mehta"/>
    <x v="2"/>
    <s v="Juice Pack"/>
    <s v="Direct Sales"/>
    <n v="24"/>
    <n v="893.44"/>
    <n v="0"/>
    <n v="18"/>
    <s v="Completed"/>
    <n v="21442.560000000001"/>
    <n v="0"/>
    <n v="3859.6608000000001"/>
    <n v="25302.220800000003"/>
  </r>
  <r>
    <s v="ORD-1182"/>
    <d v="2024-04-05T00:00:00"/>
    <s v="East"/>
    <s v="Aditya Kumar"/>
    <x v="4"/>
    <s v="Sneakers"/>
    <s v="Wholesale"/>
    <n v="16"/>
    <n v="1921.43"/>
    <n v="0"/>
    <n v="18"/>
    <s v="Completed"/>
    <n v="30742.880000000001"/>
    <n v="0"/>
    <n v="5533.7183999999997"/>
    <n v="36276.598400000003"/>
  </r>
  <r>
    <s v="ORD-1183"/>
    <d v="2024-05-26T00:00:00"/>
    <s v="West"/>
    <s v="Priya Patel"/>
    <x v="2"/>
    <s v="Juice Pack"/>
    <s v="Wholesale"/>
    <n v="46"/>
    <n v="898.08"/>
    <n v="15"/>
    <n v="18"/>
    <s v="Completed"/>
    <n v="41311.68"/>
    <n v="6196.7519999999995"/>
    <n v="6320.6870400000007"/>
    <n v="41435.615040000004"/>
  </r>
  <r>
    <s v="ORD-1184"/>
    <d v="2024-02-14T00:00:00"/>
    <s v="North"/>
    <s v="Rahul Mehta"/>
    <x v="2"/>
    <s v="Organic Tea"/>
    <s v="Online"/>
    <n v="12"/>
    <n v="1798.37"/>
    <n v="10"/>
    <n v="18"/>
    <s v="Pending"/>
    <n v="21580.44"/>
    <n v="2158.0439999999999"/>
    <n v="3496.0312800000002"/>
    <n v="22918.42728"/>
  </r>
  <r>
    <s v="ORD-1185"/>
    <d v="2024-11-22T00:00:00"/>
    <s v="North"/>
    <s v="Vikram Nair"/>
    <x v="3"/>
    <s v="Bookshelf"/>
    <s v="Wholesale"/>
    <n v="46"/>
    <n v="1422.03"/>
    <n v="20"/>
    <n v="18"/>
    <s v="Completed"/>
    <n v="65413.38"/>
    <n v="13082.675999999999"/>
    <n v="9419.5267199999998"/>
    <n v="61750.23072"/>
  </r>
  <r>
    <s v="ORD-1186"/>
    <d v="2024-07-03T00:00:00"/>
    <s v="South"/>
    <s v="Priya Patel"/>
    <x v="4"/>
    <s v="Jacket"/>
    <s v="Retail Store"/>
    <n v="16"/>
    <n v="1582.84"/>
    <n v="0"/>
    <n v="18"/>
    <s v="Completed"/>
    <n v="25325.439999999999"/>
    <n v="0"/>
    <n v="4558.5792000000001"/>
    <n v="29884.019199999999"/>
  </r>
  <r>
    <s v="ORD-1187"/>
    <d v="2024-09-02T00:00:00"/>
    <s v="East"/>
    <s v="Meera Joshi"/>
    <x v="1"/>
    <s v="Tennis Racket"/>
    <s v="Retail Store"/>
    <n v="6"/>
    <n v="140.84"/>
    <n v="10"/>
    <n v="18"/>
    <s v="Returned"/>
    <n v="845.04"/>
    <n v="84.503999999999991"/>
    <n v="136.89648"/>
    <n v="897.43247999999994"/>
  </r>
  <r>
    <s v="ORD-1188"/>
    <d v="2024-12-14T00:00:00"/>
    <s v="West"/>
    <s v="Priya Patel"/>
    <x v="1"/>
    <s v="Running Shoes"/>
    <s v="Retail Store"/>
    <n v="42"/>
    <n v="157.59"/>
    <n v="10"/>
    <n v="18"/>
    <s v="Completed"/>
    <n v="6618.78"/>
    <n v="661.87800000000004"/>
    <n v="1072.24236"/>
    <n v="7029.1443600000002"/>
  </r>
  <r>
    <s v="ORD-1189"/>
    <d v="2024-03-04T00:00:00"/>
    <s v="South"/>
    <s v="Rahul Mehta"/>
    <x v="1"/>
    <s v="Cycling Helmet"/>
    <s v="Retail Store"/>
    <n v="33"/>
    <n v="1822.32"/>
    <n v="0"/>
    <n v="18"/>
    <s v="Pending"/>
    <n v="60136.56"/>
    <n v="0"/>
    <n v="10824.580800000002"/>
    <n v="70961.140799999994"/>
  </r>
  <r>
    <s v="ORD-1190"/>
    <d v="2024-05-25T00:00:00"/>
    <s v="East"/>
    <s v="Rahul Mehta"/>
    <x v="1"/>
    <s v="Dumbbells"/>
    <s v="Retail Store"/>
    <n v="46"/>
    <n v="458.69"/>
    <n v="15"/>
    <n v="18"/>
    <s v="Completed"/>
    <n v="21099.74"/>
    <n v="3164.9610000000002"/>
    <n v="3228.2602200000006"/>
    <n v="21163.039220000002"/>
  </r>
  <r>
    <s v="ORD-1191"/>
    <d v="2024-11-24T00:00:00"/>
    <s v="South"/>
    <s v="Vikram Nair"/>
    <x v="0"/>
    <s v="Tablet"/>
    <s v="Retail Store"/>
    <n v="40"/>
    <n v="1071.6199999999999"/>
    <n v="15"/>
    <n v="18"/>
    <s v="Completed"/>
    <n v="42864.799999999996"/>
    <n v="6429.7199999999984"/>
    <n v="6558.3143999999993"/>
    <n v="42993.39439999999"/>
  </r>
  <r>
    <s v="ORD-1192"/>
    <d v="2024-02-11T00:00:00"/>
    <s v="South"/>
    <s v="Rahul Mehta"/>
    <x v="4"/>
    <s v="Sneakers"/>
    <s v="Wholesale"/>
    <n v="3"/>
    <n v="1652.22"/>
    <n v="0"/>
    <n v="18"/>
    <s v="Returned"/>
    <n v="4956.66"/>
    <n v="0"/>
    <n v="892.19880000000001"/>
    <n v="5848.8588"/>
  </r>
  <r>
    <s v="ORD-1193"/>
    <d v="2024-10-06T00:00:00"/>
    <s v="East"/>
    <s v="Sneha Iyer"/>
    <x v="0"/>
    <s v="Smartwatch"/>
    <s v="Direct Sales"/>
    <n v="41"/>
    <n v="70.27"/>
    <n v="20"/>
    <n v="18"/>
    <s v="Returned"/>
    <n v="2881.0699999999997"/>
    <n v="576.21399999999994"/>
    <n v="414.87407999999994"/>
    <n v="2719.7300799999998"/>
  </r>
  <r>
    <s v="ORD-1194"/>
    <d v="2024-03-21T00:00:00"/>
    <s v="West"/>
    <s v="Sneha Iyer"/>
    <x v="3"/>
    <s v="Bookshelf"/>
    <s v="Direct Sales"/>
    <n v="30"/>
    <n v="155.22"/>
    <n v="0"/>
    <n v="18"/>
    <s v="Completed"/>
    <n v="4656.6000000000004"/>
    <n v="0"/>
    <n v="838.18799999999999"/>
    <n v="5494.7880000000005"/>
  </r>
  <r>
    <s v="ORD-1195"/>
    <d v="2024-06-12T00:00:00"/>
    <s v="West"/>
    <s v="Meera Joshi"/>
    <x v="2"/>
    <s v="Energy Bar"/>
    <s v="Retail Store"/>
    <n v="39"/>
    <n v="295.89999999999998"/>
    <n v="20"/>
    <n v="18"/>
    <s v="Completed"/>
    <n v="11540.099999999999"/>
    <n v="2308.0199999999995"/>
    <n v="1661.7743999999998"/>
    <n v="10893.854399999998"/>
  </r>
  <r>
    <s v="ORD-1196"/>
    <d v="2024-08-18T00:00:00"/>
    <s v="South"/>
    <s v="Kavya Reddy"/>
    <x v="3"/>
    <s v="Office Chair"/>
    <s v="Online"/>
    <n v="16"/>
    <n v="938.28"/>
    <n v="5"/>
    <n v="18"/>
    <s v="Completed"/>
    <n v="15012.48"/>
    <n v="750.62399999999991"/>
    <n v="2567.1340799999998"/>
    <n v="16828.99008"/>
  </r>
  <r>
    <s v="ORD-1197"/>
    <d v="2024-06-16T00:00:00"/>
    <s v="North"/>
    <s v="Arjun Sharma"/>
    <x v="4"/>
    <s v="Jeans"/>
    <s v="Wholesale"/>
    <n v="40"/>
    <n v="842.09"/>
    <n v="0"/>
    <n v="18"/>
    <s v="Pending"/>
    <n v="33683.599999999999"/>
    <n v="0"/>
    <n v="6063.0479999999989"/>
    <n v="39746.648000000001"/>
  </r>
  <r>
    <s v="ORD-1198"/>
    <d v="2024-09-11T00:00:00"/>
    <s v="South"/>
    <s v="Rahul Mehta"/>
    <x v="1"/>
    <s v="Cycling Helmet"/>
    <s v="Direct Sales"/>
    <n v="30"/>
    <n v="1002.53"/>
    <n v="5"/>
    <n v="18"/>
    <s v="Returned"/>
    <n v="30075.899999999998"/>
    <n v="1503.7950000000001"/>
    <n v="5142.9788999999992"/>
    <n v="33715.083899999998"/>
  </r>
  <r>
    <s v="ORD-1199"/>
    <d v="2024-05-24T00:00:00"/>
    <s v="West"/>
    <s v="Meera Joshi"/>
    <x v="0"/>
    <s v="Laptop"/>
    <s v="Retail Store"/>
    <n v="38"/>
    <n v="712.26"/>
    <n v="0"/>
    <n v="18"/>
    <s v="Completed"/>
    <n v="27065.88"/>
    <n v="0"/>
    <n v="4871.8584000000001"/>
    <n v="31937.738400000002"/>
  </r>
  <r>
    <s v="ORD-1200"/>
    <d v="2024-07-06T00:00:00"/>
    <s v="West"/>
    <s v="Vikram Nair"/>
    <x v="2"/>
    <s v="Juice Pack"/>
    <s v="Online"/>
    <n v="28"/>
    <n v="276.52999999999997"/>
    <n v="5"/>
    <n v="18"/>
    <s v="Completed"/>
    <n v="7742.8399999999992"/>
    <n v="387.142"/>
    <n v="1324.0256399999998"/>
    <n v="8679.7236400000002"/>
  </r>
  <r>
    <s v="ORD-1201"/>
    <d v="2024-05-27T00:00:00"/>
    <s v="North"/>
    <s v="Aditya Kumar"/>
    <x v="2"/>
    <s v="Protein Shake"/>
    <s v="Online"/>
    <n v="36"/>
    <n v="397.36"/>
    <n v="15"/>
    <n v="18"/>
    <s v="Returned"/>
    <n v="14304.960000000001"/>
    <n v="2145.7440000000001"/>
    <n v="2188.65888"/>
    <n v="14347.874879999999"/>
  </r>
  <r>
    <s v="ORD-1202"/>
    <d v="2024-10-12T00:00:00"/>
    <s v="West"/>
    <s v="Vikram Nair"/>
    <x v="0"/>
    <s v="Headphones"/>
    <s v="Online"/>
    <n v="7"/>
    <n v="793.87"/>
    <n v="5"/>
    <n v="18"/>
    <s v="Completed"/>
    <n v="5557.09"/>
    <n v="277.85450000000003"/>
    <n v="950.26238999999998"/>
    <n v="6229.4978899999996"/>
  </r>
  <r>
    <s v="ORD-1203"/>
    <d v="2024-08-30T00:00:00"/>
    <s v="South"/>
    <s v="Aditya Kumar"/>
    <x v="3"/>
    <s v="Dining Table"/>
    <s v="Online"/>
    <n v="3"/>
    <n v="282.7"/>
    <n v="5"/>
    <n v="18"/>
    <s v="Completed"/>
    <n v="848.09999999999991"/>
    <n v="42.405000000000001"/>
    <n v="145.02509999999998"/>
    <n v="950.72009999999989"/>
  </r>
  <r>
    <s v="ORD-1204"/>
    <d v="2024-06-02T00:00:00"/>
    <s v="South"/>
    <s v="Rahul Mehta"/>
    <x v="1"/>
    <s v="Running Shoes"/>
    <s v="Wholesale"/>
    <n v="21"/>
    <n v="333.38"/>
    <n v="15"/>
    <n v="18"/>
    <s v="Returned"/>
    <n v="7000.98"/>
    <n v="1050.1469999999999"/>
    <n v="1071.14994"/>
    <n v="7021.9829399999999"/>
  </r>
  <r>
    <s v="ORD-1205"/>
    <d v="2024-08-01T00:00:00"/>
    <s v="West"/>
    <s v="Vikram Nair"/>
    <x v="1"/>
    <s v="Cycling Helmet"/>
    <s v="Direct Sales"/>
    <n v="24"/>
    <n v="669.17"/>
    <n v="0"/>
    <n v="18"/>
    <s v="Completed"/>
    <n v="16060.079999999998"/>
    <n v="0"/>
    <n v="2890.8143999999993"/>
    <n v="18950.894399999997"/>
  </r>
  <r>
    <s v="ORD-1206"/>
    <d v="2024-10-25T00:00:00"/>
    <s v="North"/>
    <s v="Meera Joshi"/>
    <x v="1"/>
    <s v="Cycling Helmet"/>
    <s v="Wholesale"/>
    <n v="37"/>
    <n v="462.81"/>
    <n v="0"/>
    <n v="18"/>
    <s v="Returned"/>
    <n v="17123.97"/>
    <n v="0"/>
    <n v="3082.3146000000002"/>
    <n v="20206.284600000003"/>
  </r>
  <r>
    <s v="ORD-1207"/>
    <d v="2024-04-07T00:00:00"/>
    <s v="West"/>
    <s v="Rahul Mehta"/>
    <x v="2"/>
    <s v="Organic Tea"/>
    <s v="Retail Store"/>
    <n v="37"/>
    <n v="1896.93"/>
    <n v="0"/>
    <n v="18"/>
    <s v="Completed"/>
    <n v="70186.41"/>
    <n v="0"/>
    <n v="12633.553800000002"/>
    <n v="82819.963799999998"/>
  </r>
  <r>
    <s v="ORD-1208"/>
    <d v="2024-11-09T00:00:00"/>
    <s v="East"/>
    <s v="Aditya Kumar"/>
    <x v="0"/>
    <s v="Headphones"/>
    <s v="Retail Store"/>
    <n v="45"/>
    <n v="415.74"/>
    <n v="15"/>
    <n v="18"/>
    <s v="Pending"/>
    <n v="18708.3"/>
    <n v="2806.2449999999999"/>
    <n v="2862.3698999999997"/>
    <n v="18764.424899999998"/>
  </r>
  <r>
    <s v="ORD-1209"/>
    <d v="2024-08-23T00:00:00"/>
    <s v="South"/>
    <s v="Sneha Iyer"/>
    <x v="2"/>
    <s v="Coffee Beans"/>
    <s v="Wholesale"/>
    <n v="34"/>
    <n v="759.88"/>
    <n v="0"/>
    <n v="18"/>
    <s v="Pending"/>
    <n v="25835.919999999998"/>
    <n v="0"/>
    <n v="4650.4655999999995"/>
    <n v="30486.385599999998"/>
  </r>
  <r>
    <s v="ORD-1210"/>
    <d v="2024-04-25T00:00:00"/>
    <s v="East"/>
    <s v="Vikram Nair"/>
    <x v="1"/>
    <s v="Cycling Helmet"/>
    <s v="Direct Sales"/>
    <n v="16"/>
    <n v="565.22"/>
    <n v="5"/>
    <n v="18"/>
    <s v="Completed"/>
    <n v="9043.52"/>
    <n v="452.17600000000004"/>
    <n v="1546.4419200000002"/>
    <n v="10137.785920000002"/>
  </r>
  <r>
    <s v="ORD-1211"/>
    <d v="2024-05-20T00:00:00"/>
    <s v="South"/>
    <s v="Meera Joshi"/>
    <x v="3"/>
    <s v="Bookshelf"/>
    <s v="Wholesale"/>
    <n v="23"/>
    <n v="1125.3699999999999"/>
    <n v="20"/>
    <n v="18"/>
    <s v="Pending"/>
    <n v="25883.51"/>
    <n v="5176.7019999999993"/>
    <n v="3727.2254399999993"/>
    <n v="24434.033439999996"/>
  </r>
  <r>
    <s v="ORD-1212"/>
    <d v="2024-02-10T00:00:00"/>
    <s v="West"/>
    <s v="Aditya Kumar"/>
    <x v="3"/>
    <s v="Sofa"/>
    <s v="Wholesale"/>
    <n v="19"/>
    <n v="93.71"/>
    <n v="20"/>
    <n v="18"/>
    <s v="Completed"/>
    <n v="1780.4899999999998"/>
    <n v="356.09799999999996"/>
    <n v="256.39055999999999"/>
    <n v="1680.7825599999999"/>
  </r>
  <r>
    <s v="ORD-1213"/>
    <d v="2024-12-22T00:00:00"/>
    <s v="East"/>
    <s v="Meera Joshi"/>
    <x v="3"/>
    <s v="Office Chair"/>
    <s v="Retail Store"/>
    <n v="35"/>
    <n v="549.54999999999995"/>
    <n v="15"/>
    <n v="18"/>
    <s v="Completed"/>
    <n v="19234.25"/>
    <n v="2885.1374999999998"/>
    <n v="2942.8402499999997"/>
    <n v="19291.95275"/>
  </r>
  <r>
    <s v="ORD-1214"/>
    <d v="2024-11-22T00:00:00"/>
    <s v="North"/>
    <s v="Sneha Iyer"/>
    <x v="3"/>
    <s v="Dining Table"/>
    <s v="Retail Store"/>
    <n v="43"/>
    <n v="1811.32"/>
    <n v="0"/>
    <n v="18"/>
    <s v="Completed"/>
    <n v="77886.759999999995"/>
    <n v="0"/>
    <n v="14019.6168"/>
    <n v="91906.376799999998"/>
  </r>
  <r>
    <s v="ORD-1215"/>
    <d v="2024-01-03T00:00:00"/>
    <s v="North"/>
    <s v="Aditya Kumar"/>
    <x v="4"/>
    <s v="T-Shirt"/>
    <s v="Wholesale"/>
    <n v="7"/>
    <n v="1365.57"/>
    <n v="0"/>
    <n v="18"/>
    <s v="Pending"/>
    <n v="9558.99"/>
    <n v="0"/>
    <n v="1720.6182000000001"/>
    <n v="11279.608200000001"/>
  </r>
  <r>
    <s v="ORD-1216"/>
    <d v="2024-05-26T00:00:00"/>
    <s v="West"/>
    <s v="Meera Joshi"/>
    <x v="1"/>
    <s v="Dumbbells"/>
    <s v="Direct Sales"/>
    <n v="49"/>
    <n v="1928.19"/>
    <n v="5"/>
    <n v="18"/>
    <s v="Completed"/>
    <n v="94481.31"/>
    <n v="4724.0654999999997"/>
    <n v="16156.30401"/>
    <n v="105913.54850999999"/>
  </r>
  <r>
    <s v="ORD-1217"/>
    <d v="2024-07-22T00:00:00"/>
    <s v="South"/>
    <s v="Arjun Sharma"/>
    <x v="0"/>
    <s v="Laptop"/>
    <s v="Retail Store"/>
    <n v="12"/>
    <n v="1868.51"/>
    <n v="0"/>
    <n v="18"/>
    <s v="Pending"/>
    <n v="22422.12"/>
    <n v="0"/>
    <n v="4035.9815999999996"/>
    <n v="26458.101599999998"/>
  </r>
  <r>
    <s v="ORD-1218"/>
    <d v="2024-05-25T00:00:00"/>
    <s v="East"/>
    <s v="Arjun Sharma"/>
    <x v="2"/>
    <s v="Organic Tea"/>
    <s v="Online"/>
    <n v="37"/>
    <n v="1209.54"/>
    <n v="5"/>
    <n v="18"/>
    <s v="Completed"/>
    <n v="44752.979999999996"/>
    <n v="2237.6489999999994"/>
    <n v="7652.7595799999999"/>
    <n v="50168.090579999996"/>
  </r>
  <r>
    <s v="ORD-1219"/>
    <d v="2024-03-24T00:00:00"/>
    <s v="West"/>
    <s v="Rahul Mehta"/>
    <x v="2"/>
    <s v="Juice Pack"/>
    <s v="Direct Sales"/>
    <n v="13"/>
    <n v="1619.54"/>
    <n v="5"/>
    <n v="18"/>
    <s v="Completed"/>
    <n v="21054.02"/>
    <n v="1052.701"/>
    <n v="3600.2374199999995"/>
    <n v="23601.556420000001"/>
  </r>
  <r>
    <s v="ORD-1220"/>
    <d v="2024-03-30T00:00:00"/>
    <s v="South"/>
    <s v="Arjun Sharma"/>
    <x v="2"/>
    <s v="Protein Shake"/>
    <s v="Wholesale"/>
    <n v="37"/>
    <n v="1352.06"/>
    <n v="0"/>
    <n v="18"/>
    <s v="Completed"/>
    <n v="50026.22"/>
    <n v="0"/>
    <n v="9004.7196000000004"/>
    <n v="59030.939599999998"/>
  </r>
  <r>
    <s v="ORD-1221"/>
    <d v="2024-09-01T00:00:00"/>
    <s v="West"/>
    <s v="Kavya Reddy"/>
    <x v="1"/>
    <s v="Running Shoes"/>
    <s v="Online"/>
    <n v="43"/>
    <n v="199.82"/>
    <n v="0"/>
    <n v="18"/>
    <s v="Pending"/>
    <n v="8592.26"/>
    <n v="0"/>
    <n v="1546.6068"/>
    <n v="10138.8668"/>
  </r>
  <r>
    <s v="ORD-1222"/>
    <d v="2024-06-03T00:00:00"/>
    <s v="North"/>
    <s v="Vikram Nair"/>
    <x v="3"/>
    <s v="Dining Table"/>
    <s v="Direct Sales"/>
    <n v="29"/>
    <n v="1509.98"/>
    <n v="5"/>
    <n v="18"/>
    <s v="Completed"/>
    <n v="43789.42"/>
    <n v="2189.4709999999995"/>
    <n v="7487.9908200000009"/>
    <n v="49087.93982"/>
  </r>
  <r>
    <s v="ORD-1223"/>
    <d v="2024-06-06T00:00:00"/>
    <s v="North"/>
    <s v="Vikram Nair"/>
    <x v="1"/>
    <s v="Tennis Racket"/>
    <s v="Wholesale"/>
    <n v="4"/>
    <n v="1338.89"/>
    <n v="10"/>
    <n v="18"/>
    <s v="Completed"/>
    <n v="5355.56"/>
    <n v="535.55600000000004"/>
    <n v="867.60072000000014"/>
    <n v="5687.6047200000012"/>
  </r>
  <r>
    <s v="ORD-1224"/>
    <d v="2024-09-01T00:00:00"/>
    <s v="East"/>
    <s v="Priya Patel"/>
    <x v="4"/>
    <s v="Dress"/>
    <s v="Wholesale"/>
    <n v="40"/>
    <n v="449.49"/>
    <n v="0"/>
    <n v="18"/>
    <s v="Completed"/>
    <n v="17979.599999999999"/>
    <n v="0"/>
    <n v="3236.328"/>
    <n v="21215.928"/>
  </r>
  <r>
    <s v="ORD-1225"/>
    <d v="2024-12-14T00:00:00"/>
    <s v="East"/>
    <s v="Aditya Kumar"/>
    <x v="4"/>
    <s v="Dress"/>
    <s v="Direct Sales"/>
    <n v="43"/>
    <n v="1652.95"/>
    <n v="0"/>
    <n v="18"/>
    <s v="Returned"/>
    <n v="71076.850000000006"/>
    <n v="0"/>
    <n v="12793.833000000001"/>
    <n v="83870.683000000005"/>
  </r>
  <r>
    <s v="ORD-1226"/>
    <d v="2024-09-15T00:00:00"/>
    <s v="West"/>
    <s v="Kavya Reddy"/>
    <x v="1"/>
    <s v="Yoga Mat"/>
    <s v="Online"/>
    <n v="8"/>
    <n v="132.9"/>
    <n v="15"/>
    <n v="18"/>
    <s v="Returned"/>
    <n v="1063.2"/>
    <n v="159.47999999999999"/>
    <n v="162.6696"/>
    <n v="1066.3896"/>
  </r>
  <r>
    <s v="ORD-1227"/>
    <d v="2024-10-25T00:00:00"/>
    <s v="South"/>
    <s v="Rahul Mehta"/>
    <x v="4"/>
    <s v="Sneakers"/>
    <s v="Wholesale"/>
    <n v="29"/>
    <n v="241.32"/>
    <n v="0"/>
    <n v="18"/>
    <s v="Returned"/>
    <n v="6998.28"/>
    <n v="0"/>
    <n v="1259.6904"/>
    <n v="8257.9704000000002"/>
  </r>
  <r>
    <s v="ORD-1228"/>
    <d v="2024-01-30T00:00:00"/>
    <s v="West"/>
    <s v="Arjun Sharma"/>
    <x v="2"/>
    <s v="Coffee Beans"/>
    <s v="Direct Sales"/>
    <n v="33"/>
    <n v="836.69"/>
    <n v="15"/>
    <n v="18"/>
    <s v="Completed"/>
    <n v="27610.77"/>
    <n v="4141.6154999999999"/>
    <n v="4224.4478100000006"/>
    <n v="27693.602310000002"/>
  </r>
  <r>
    <s v="ORD-1229"/>
    <d v="2024-02-07T00:00:00"/>
    <s v="East"/>
    <s v="Arjun Sharma"/>
    <x v="1"/>
    <s v="Running Shoes"/>
    <s v="Direct Sales"/>
    <n v="1"/>
    <n v="1494.15"/>
    <n v="15"/>
    <n v="18"/>
    <s v="Completed"/>
    <n v="1494.15"/>
    <n v="224.1225"/>
    <n v="228.60495000000003"/>
    <n v="1498.6324500000001"/>
  </r>
  <r>
    <s v="ORD-1230"/>
    <d v="2024-04-02T00:00:00"/>
    <s v="East"/>
    <s v="Priya Patel"/>
    <x v="0"/>
    <s v="Headphones"/>
    <s v="Online"/>
    <n v="31"/>
    <n v="73.150000000000006"/>
    <n v="10"/>
    <n v="18"/>
    <s v="Completed"/>
    <n v="2267.65"/>
    <n v="226.76499999999999"/>
    <n v="367.35930000000008"/>
    <n v="2408.2443000000003"/>
  </r>
  <r>
    <s v="ORD-1231"/>
    <d v="2024-10-03T00:00:00"/>
    <s v="East"/>
    <s v="Aditya Kumar"/>
    <x v="4"/>
    <s v="Dress"/>
    <s v="Direct Sales"/>
    <n v="25"/>
    <n v="169.7"/>
    <n v="20"/>
    <n v="18"/>
    <s v="Pending"/>
    <n v="4242.5"/>
    <n v="848.5"/>
    <n v="610.91999999999996"/>
    <n v="4004.92"/>
  </r>
  <r>
    <s v="ORD-1232"/>
    <d v="2024-01-02T00:00:00"/>
    <s v="North"/>
    <s v="Rahul Mehta"/>
    <x v="4"/>
    <s v="Jacket"/>
    <s v="Direct Sales"/>
    <n v="9"/>
    <n v="1458.44"/>
    <n v="0"/>
    <n v="18"/>
    <s v="Returned"/>
    <n v="13125.960000000001"/>
    <n v="0"/>
    <n v="2362.6728000000003"/>
    <n v="15488.632800000001"/>
  </r>
  <r>
    <s v="ORD-1233"/>
    <d v="2024-05-21T00:00:00"/>
    <s v="West"/>
    <s v="Aditya Kumar"/>
    <x v="0"/>
    <s v="Tablet"/>
    <s v="Direct Sales"/>
    <n v="16"/>
    <n v="926.64"/>
    <n v="0"/>
    <n v="18"/>
    <s v="Completed"/>
    <n v="14826.24"/>
    <n v="0"/>
    <n v="2668.7231999999999"/>
    <n v="17494.963199999998"/>
  </r>
  <r>
    <s v="ORD-1234"/>
    <d v="2024-01-18T00:00:00"/>
    <s v="North"/>
    <s v="Aditya Kumar"/>
    <x v="4"/>
    <s v="T-Shirt"/>
    <s v="Online"/>
    <n v="14"/>
    <n v="143.91"/>
    <n v="15"/>
    <n v="18"/>
    <s v="Completed"/>
    <n v="2014.74"/>
    <n v="302.21100000000001"/>
    <n v="308.25522000000001"/>
    <n v="2020.78422"/>
  </r>
  <r>
    <s v="ORD-1235"/>
    <d v="2024-01-29T00:00:00"/>
    <s v="North"/>
    <s v="Sneha Iyer"/>
    <x v="2"/>
    <s v="Juice Pack"/>
    <s v="Online"/>
    <n v="29"/>
    <n v="476.34"/>
    <n v="0"/>
    <n v="18"/>
    <s v="Pending"/>
    <n v="13813.859999999999"/>
    <n v="0"/>
    <n v="2486.4947999999999"/>
    <n v="16300.354799999999"/>
  </r>
  <r>
    <s v="ORD-1236"/>
    <d v="2024-05-01T00:00:00"/>
    <s v="East"/>
    <s v="Sneha Iyer"/>
    <x v="4"/>
    <s v="Sneakers"/>
    <s v="Wholesale"/>
    <n v="39"/>
    <n v="1547.35"/>
    <n v="5"/>
    <n v="18"/>
    <s v="Returned"/>
    <n v="60346.649999999994"/>
    <n v="3017.3325"/>
    <n v="10319.27715"/>
    <n v="67648.594649999999"/>
  </r>
  <r>
    <s v="ORD-1237"/>
    <d v="2024-03-30T00:00:00"/>
    <s v="South"/>
    <s v="Aditya Kumar"/>
    <x v="3"/>
    <s v="Dining Table"/>
    <s v="Wholesale"/>
    <n v="4"/>
    <n v="1117.8699999999999"/>
    <n v="15"/>
    <n v="18"/>
    <s v="Completed"/>
    <n v="4471.4799999999996"/>
    <n v="670.72199999999998"/>
    <n v="684.13643999999999"/>
    <n v="4484.89444"/>
  </r>
  <r>
    <s v="ORD-1238"/>
    <d v="2024-07-28T00:00:00"/>
    <s v="West"/>
    <s v="Arjun Sharma"/>
    <x v="2"/>
    <s v="Juice Pack"/>
    <s v="Wholesale"/>
    <n v="34"/>
    <n v="644.28"/>
    <n v="10"/>
    <n v="18"/>
    <s v="Pending"/>
    <n v="21905.52"/>
    <n v="2190.5520000000001"/>
    <n v="3548.6942399999998"/>
    <n v="23263.662240000001"/>
  </r>
  <r>
    <s v="ORD-1239"/>
    <d v="2024-03-14T00:00:00"/>
    <s v="West"/>
    <s v="Rahul Mehta"/>
    <x v="4"/>
    <s v="Jacket"/>
    <s v="Direct Sales"/>
    <n v="15"/>
    <n v="608.47"/>
    <n v="20"/>
    <n v="18"/>
    <s v="Completed"/>
    <n v="9127.0500000000011"/>
    <n v="1825.4100000000003"/>
    <n v="1314.2952000000002"/>
    <n v="8615.9352000000017"/>
  </r>
  <r>
    <s v="ORD-1240"/>
    <d v="2024-11-27T00:00:00"/>
    <s v="West"/>
    <s v="Aditya Kumar"/>
    <x v="2"/>
    <s v="Coffee Beans"/>
    <s v="Retail Store"/>
    <n v="16"/>
    <n v="517.44000000000005"/>
    <n v="5"/>
    <n v="18"/>
    <s v="Pending"/>
    <n v="8279.0400000000009"/>
    <n v="413.95200000000006"/>
    <n v="1415.7158400000001"/>
    <n v="9280.8038400000005"/>
  </r>
  <r>
    <s v="ORD-1241"/>
    <d v="2024-11-04T00:00:00"/>
    <s v="East"/>
    <s v="Priya Patel"/>
    <x v="0"/>
    <s v="Headphones"/>
    <s v="Retail Store"/>
    <n v="18"/>
    <n v="760.56"/>
    <n v="15"/>
    <n v="18"/>
    <s v="Completed"/>
    <n v="13690.079999999998"/>
    <n v="2053.5119999999997"/>
    <n v="2094.5822399999997"/>
    <n v="13731.150239999999"/>
  </r>
  <r>
    <s v="ORD-1242"/>
    <d v="2024-04-18T00:00:00"/>
    <s v="South"/>
    <s v="Sneha Iyer"/>
    <x v="0"/>
    <s v="Laptop"/>
    <s v="Direct Sales"/>
    <n v="22"/>
    <n v="613.34"/>
    <n v="0"/>
    <n v="18"/>
    <s v="Completed"/>
    <n v="13493.480000000001"/>
    <n v="0"/>
    <n v="2428.8263999999999"/>
    <n v="15922.306400000001"/>
  </r>
  <r>
    <s v="ORD-1243"/>
    <d v="2024-07-13T00:00:00"/>
    <s v="West"/>
    <s v="Sneha Iyer"/>
    <x v="4"/>
    <s v="T-Shirt"/>
    <s v="Retail Store"/>
    <n v="16"/>
    <n v="1108.6400000000001"/>
    <n v="5"/>
    <n v="18"/>
    <s v="Pending"/>
    <n v="17738.240000000002"/>
    <n v="886.91200000000015"/>
    <n v="3033.2390400000004"/>
    <n v="19884.567040000002"/>
  </r>
  <r>
    <s v="ORD-1244"/>
    <d v="2024-02-20T00:00:00"/>
    <s v="East"/>
    <s v="Vikram Nair"/>
    <x v="2"/>
    <s v="Juice Pack"/>
    <s v="Wholesale"/>
    <n v="33"/>
    <n v="1766.8"/>
    <n v="10"/>
    <n v="18"/>
    <s v="Completed"/>
    <n v="58304.4"/>
    <n v="5830.44"/>
    <n v="9445.3127999999997"/>
    <n v="61919.272799999999"/>
  </r>
  <r>
    <s v="ORD-1245"/>
    <d v="2024-03-15T00:00:00"/>
    <s v="South"/>
    <s v="Kavya Reddy"/>
    <x v="2"/>
    <s v="Protein Shake"/>
    <s v="Wholesale"/>
    <n v="3"/>
    <n v="1129.42"/>
    <n v="0"/>
    <n v="18"/>
    <s v="Pending"/>
    <n v="3388.26"/>
    <n v="0"/>
    <n v="609.88680000000011"/>
    <n v="3998.1468000000004"/>
  </r>
  <r>
    <s v="ORD-1246"/>
    <d v="2024-05-05T00:00:00"/>
    <s v="West"/>
    <s v="Vikram Nair"/>
    <x v="0"/>
    <s v="Tablet"/>
    <s v="Retail Store"/>
    <n v="22"/>
    <n v="467.74"/>
    <n v="15"/>
    <n v="18"/>
    <s v="Completed"/>
    <n v="10290.280000000001"/>
    <n v="1543.5420000000001"/>
    <n v="1574.4128400000002"/>
    <n v="10321.150840000002"/>
  </r>
  <r>
    <s v="ORD-1247"/>
    <d v="2024-03-27T00:00:00"/>
    <s v="East"/>
    <s v="Vikram Nair"/>
    <x v="2"/>
    <s v="Juice Pack"/>
    <s v="Direct Sales"/>
    <n v="30"/>
    <n v="344.78"/>
    <n v="5"/>
    <n v="18"/>
    <s v="Pending"/>
    <n v="10343.4"/>
    <n v="517.16999999999996"/>
    <n v="1768.7213999999999"/>
    <n v="11594.9514"/>
  </r>
  <r>
    <s v="ORD-1248"/>
    <d v="2024-12-08T00:00:00"/>
    <s v="West"/>
    <s v="Rahul Mehta"/>
    <x v="4"/>
    <s v="Sneakers"/>
    <s v="Online"/>
    <n v="3"/>
    <n v="1679.75"/>
    <n v="0"/>
    <n v="18"/>
    <s v="Returned"/>
    <n v="5039.25"/>
    <n v="0"/>
    <n v="907.06500000000005"/>
    <n v="5946.3150000000005"/>
  </r>
  <r>
    <s v="ORD-1249"/>
    <d v="2024-09-15T00:00:00"/>
    <s v="West"/>
    <s v="Rahul Mehta"/>
    <x v="0"/>
    <s v="Laptop"/>
    <s v="Retail Store"/>
    <n v="46"/>
    <n v="310.55"/>
    <n v="0"/>
    <n v="18"/>
    <s v="Completed"/>
    <n v="14285.300000000001"/>
    <n v="0"/>
    <n v="2571.3540000000003"/>
    <n v="16856.654000000002"/>
  </r>
  <r>
    <s v="ORD-1250"/>
    <d v="2024-01-07T00:00:00"/>
    <s v="North"/>
    <s v="Meera Joshi"/>
    <x v="2"/>
    <s v="Protein Shake"/>
    <s v="Direct Sales"/>
    <n v="1"/>
    <n v="1069.0999999999999"/>
    <n v="10"/>
    <n v="18"/>
    <s v="Completed"/>
    <n v="1069.0999999999999"/>
    <n v="106.91"/>
    <n v="173.1942"/>
    <n v="1135.3842"/>
  </r>
  <r>
    <s v="ORD-1251"/>
    <d v="2024-02-24T00:00:00"/>
    <s v="East"/>
    <s v="Vikram Nair"/>
    <x v="0"/>
    <s v="Smartwatch"/>
    <s v="Online"/>
    <n v="45"/>
    <n v="1351.33"/>
    <n v="0"/>
    <n v="18"/>
    <s v="Returned"/>
    <n v="60809.85"/>
    <n v="0"/>
    <n v="10945.773000000001"/>
    <n v="71755.622999999992"/>
  </r>
  <r>
    <s v="ORD-1252"/>
    <d v="2024-05-16T00:00:00"/>
    <s v="South"/>
    <s v="Sneha Iyer"/>
    <x v="0"/>
    <s v="Smartwatch"/>
    <s v="Retail Store"/>
    <n v="34"/>
    <n v="512.30999999999995"/>
    <n v="5"/>
    <n v="18"/>
    <s v="Returned"/>
    <n v="17418.539999999997"/>
    <n v="870.92699999999979"/>
    <n v="2978.5703399999998"/>
    <n v="19526.183339999996"/>
  </r>
  <r>
    <s v="ORD-1253"/>
    <d v="2024-06-02T00:00:00"/>
    <s v="East"/>
    <s v="Aditya Kumar"/>
    <x v="2"/>
    <s v="Coffee Beans"/>
    <s v="Direct Sales"/>
    <n v="16"/>
    <n v="1980.56"/>
    <n v="0"/>
    <n v="18"/>
    <s v="Returned"/>
    <n v="31688.959999999999"/>
    <n v="0"/>
    <n v="5704.0128000000004"/>
    <n v="37392.972800000003"/>
  </r>
  <r>
    <s v="ORD-1254"/>
    <d v="2024-01-05T00:00:00"/>
    <s v="North"/>
    <s v="Aditya Kumar"/>
    <x v="0"/>
    <s v="Laptop"/>
    <s v="Direct Sales"/>
    <n v="36"/>
    <n v="957.25"/>
    <n v="20"/>
    <n v="18"/>
    <s v="Pending"/>
    <n v="34461"/>
    <n v="6892.2"/>
    <n v="4962.384"/>
    <n v="32531.184000000001"/>
  </r>
  <r>
    <s v="ORD-1255"/>
    <d v="2024-04-27T00:00:00"/>
    <s v="West"/>
    <s v="Aditya Kumar"/>
    <x v="4"/>
    <s v="T-Shirt"/>
    <s v="Wholesale"/>
    <n v="7"/>
    <n v="1790.63"/>
    <n v="0"/>
    <n v="18"/>
    <s v="Returned"/>
    <n v="12534.41"/>
    <n v="0"/>
    <n v="2256.1938"/>
    <n v="14790.603800000001"/>
  </r>
  <r>
    <s v="ORD-1256"/>
    <d v="2024-10-15T00:00:00"/>
    <s v="West"/>
    <s v="Vikram Nair"/>
    <x v="4"/>
    <s v="Sneakers"/>
    <s v="Online"/>
    <n v="44"/>
    <n v="1851.91"/>
    <n v="15"/>
    <n v="18"/>
    <s v="Completed"/>
    <n v="81484.040000000008"/>
    <n v="12222.606000000002"/>
    <n v="12467.058120000002"/>
    <n v="81728.49212000001"/>
  </r>
  <r>
    <s v="ORD-1257"/>
    <d v="2024-07-22T00:00:00"/>
    <s v="East"/>
    <s v="Arjun Sharma"/>
    <x v="0"/>
    <s v="Smartphone"/>
    <s v="Retail Store"/>
    <n v="10"/>
    <n v="1506.99"/>
    <n v="20"/>
    <n v="18"/>
    <s v="Returned"/>
    <n v="15069.9"/>
    <n v="3013.98"/>
    <n v="2170.0655999999999"/>
    <n v="14225.9856"/>
  </r>
  <r>
    <s v="ORD-1258"/>
    <d v="2024-03-12T00:00:00"/>
    <s v="South"/>
    <s v="Sneha Iyer"/>
    <x v="0"/>
    <s v="Tablet"/>
    <s v="Direct Sales"/>
    <n v="22"/>
    <n v="773.85"/>
    <n v="20"/>
    <n v="18"/>
    <s v="Returned"/>
    <n v="17024.7"/>
    <n v="3404.94"/>
    <n v="2451.5567999999998"/>
    <n v="16071.316800000001"/>
  </r>
  <r>
    <s v="ORD-1259"/>
    <d v="2024-11-05T00:00:00"/>
    <s v="East"/>
    <s v="Arjun Sharma"/>
    <x v="0"/>
    <s v="Smartwatch"/>
    <s v="Online"/>
    <n v="15"/>
    <n v="1678.96"/>
    <n v="5"/>
    <n v="18"/>
    <s v="Pending"/>
    <n v="25184.400000000001"/>
    <n v="1259.22"/>
    <n v="4306.5324000000001"/>
    <n v="28231.7124"/>
  </r>
  <r>
    <s v="ORD-1260"/>
    <d v="2024-10-10T00:00:00"/>
    <s v="West"/>
    <s v="Kavya Reddy"/>
    <x v="1"/>
    <s v="Tennis Racket"/>
    <s v="Online"/>
    <n v="29"/>
    <n v="986.3"/>
    <n v="5"/>
    <n v="18"/>
    <s v="Completed"/>
    <n v="28602.699999999997"/>
    <n v="1430.135"/>
    <n v="4891.0617000000002"/>
    <n v="32063.626700000001"/>
  </r>
  <r>
    <s v="ORD-1261"/>
    <d v="2024-02-07T00:00:00"/>
    <s v="South"/>
    <s v="Aditya Kumar"/>
    <x v="2"/>
    <s v="Energy Bar"/>
    <s v="Online"/>
    <n v="19"/>
    <n v="1598.13"/>
    <n v="20"/>
    <n v="18"/>
    <s v="Returned"/>
    <n v="30364.47"/>
    <n v="6072.8940000000002"/>
    <n v="4372.4836800000003"/>
    <n v="28664.059680000002"/>
  </r>
  <r>
    <s v="ORD-1262"/>
    <d v="2024-01-03T00:00:00"/>
    <s v="South"/>
    <s v="Aditya Kumar"/>
    <x v="0"/>
    <s v="Tablet"/>
    <s v="Retail Store"/>
    <n v="21"/>
    <n v="727.79"/>
    <n v="0"/>
    <n v="18"/>
    <s v="Pending"/>
    <n v="15283.59"/>
    <n v="0"/>
    <n v="2751.0461999999998"/>
    <n v="18034.636200000001"/>
  </r>
  <r>
    <s v="ORD-1263"/>
    <d v="2024-10-12T00:00:00"/>
    <s v="East"/>
    <s v="Vikram Nair"/>
    <x v="3"/>
    <s v="Office Chair"/>
    <s v="Online"/>
    <n v="6"/>
    <n v="382.91"/>
    <n v="10"/>
    <n v="18"/>
    <s v="Completed"/>
    <n v="2297.46"/>
    <n v="229.74599999999998"/>
    <n v="372.18851999999998"/>
    <n v="2439.9025200000001"/>
  </r>
  <r>
    <s v="ORD-1264"/>
    <d v="2024-11-02T00:00:00"/>
    <s v="West"/>
    <s v="Priya Patel"/>
    <x v="1"/>
    <s v="Tennis Racket"/>
    <s v="Online"/>
    <n v="23"/>
    <n v="1112.9000000000001"/>
    <n v="15"/>
    <n v="18"/>
    <s v="Completed"/>
    <n v="25596.7"/>
    <n v="3839.5050000000001"/>
    <n v="3916.2951000000003"/>
    <n v="25673.490099999999"/>
  </r>
  <r>
    <s v="ORD-1265"/>
    <d v="2024-05-04T00:00:00"/>
    <s v="North"/>
    <s v="Vikram Nair"/>
    <x v="3"/>
    <s v="Office Chair"/>
    <s v="Direct Sales"/>
    <n v="50"/>
    <n v="178.55"/>
    <n v="15"/>
    <n v="18"/>
    <s v="Pending"/>
    <n v="8927.5"/>
    <n v="1339.125"/>
    <n v="1365.9075"/>
    <n v="8954.2824999999993"/>
  </r>
  <r>
    <s v="ORD-1266"/>
    <d v="2024-03-15T00:00:00"/>
    <s v="South"/>
    <s v="Aditya Kumar"/>
    <x v="1"/>
    <s v="Tennis Racket"/>
    <s v="Retail Store"/>
    <n v="18"/>
    <n v="609.25"/>
    <n v="10"/>
    <n v="18"/>
    <s v="Completed"/>
    <n v="10966.5"/>
    <n v="1096.6500000000001"/>
    <n v="1776.5730000000001"/>
    <n v="11646.423000000001"/>
  </r>
  <r>
    <s v="ORD-1267"/>
    <d v="2024-05-08T00:00:00"/>
    <s v="West"/>
    <s v="Vikram Nair"/>
    <x v="0"/>
    <s v="Smartphone"/>
    <s v="Direct Sales"/>
    <n v="31"/>
    <n v="1567.51"/>
    <n v="5"/>
    <n v="18"/>
    <s v="Completed"/>
    <n v="48592.81"/>
    <n v="2429.6405"/>
    <n v="8309.3705100000006"/>
    <n v="54472.540009999997"/>
  </r>
  <r>
    <s v="ORD-1268"/>
    <d v="2024-06-19T00:00:00"/>
    <s v="South"/>
    <s v="Meera Joshi"/>
    <x v="4"/>
    <s v="Dress"/>
    <s v="Online"/>
    <n v="20"/>
    <n v="23.47"/>
    <n v="10"/>
    <n v="18"/>
    <s v="Completed"/>
    <n v="469.4"/>
    <n v="46.94"/>
    <n v="76.0428"/>
    <n v="498.50279999999998"/>
  </r>
  <r>
    <s v="ORD-1269"/>
    <d v="2024-06-02T00:00:00"/>
    <s v="East"/>
    <s v="Meera Joshi"/>
    <x v="1"/>
    <s v="Running Shoes"/>
    <s v="Wholesale"/>
    <n v="42"/>
    <n v="1948.71"/>
    <n v="0"/>
    <n v="18"/>
    <s v="Pending"/>
    <n v="81845.820000000007"/>
    <n v="0"/>
    <n v="14732.247600000002"/>
    <n v="96578.067600000009"/>
  </r>
  <r>
    <s v="ORD-1270"/>
    <d v="2024-12-21T00:00:00"/>
    <s v="South"/>
    <s v="Meera Joshi"/>
    <x v="3"/>
    <s v="Wardrobe"/>
    <s v="Wholesale"/>
    <n v="26"/>
    <n v="1937.76"/>
    <n v="5"/>
    <n v="18"/>
    <s v="Completed"/>
    <n v="50381.760000000002"/>
    <n v="2519.0880000000002"/>
    <n v="8615.2809600000001"/>
    <n v="56477.952959999995"/>
  </r>
  <r>
    <s v="ORD-1271"/>
    <d v="2024-04-12T00:00:00"/>
    <s v="South"/>
    <s v="Kavya Reddy"/>
    <x v="2"/>
    <s v="Juice Pack"/>
    <s v="Direct Sales"/>
    <n v="26"/>
    <n v="736.38"/>
    <n v="15"/>
    <n v="18"/>
    <s v="Completed"/>
    <n v="19145.88"/>
    <n v="2871.8820000000001"/>
    <n v="2929.3196400000002"/>
    <n v="19203.317640000001"/>
  </r>
  <r>
    <s v="ORD-1272"/>
    <d v="2024-02-05T00:00:00"/>
    <s v="South"/>
    <s v="Arjun Sharma"/>
    <x v="1"/>
    <s v="Tennis Racket"/>
    <s v="Direct Sales"/>
    <n v="29"/>
    <n v="1597.39"/>
    <n v="20"/>
    <n v="18"/>
    <s v="Completed"/>
    <n v="46324.310000000005"/>
    <n v="9264.862000000001"/>
    <n v="6670.70064"/>
    <n v="43730.148640000007"/>
  </r>
  <r>
    <s v="ORD-1273"/>
    <d v="2024-07-12T00:00:00"/>
    <s v="South"/>
    <s v="Vikram Nair"/>
    <x v="2"/>
    <s v="Energy Bar"/>
    <s v="Retail Store"/>
    <n v="43"/>
    <n v="316.75"/>
    <n v="10"/>
    <n v="18"/>
    <s v="Completed"/>
    <n v="13620.25"/>
    <n v="1362.0250000000001"/>
    <n v="2206.4805000000001"/>
    <n v="14464.7055"/>
  </r>
  <r>
    <s v="ORD-1274"/>
    <d v="2024-12-25T00:00:00"/>
    <s v="West"/>
    <s v="Aditya Kumar"/>
    <x v="0"/>
    <s v="Headphones"/>
    <s v="Direct Sales"/>
    <n v="3"/>
    <n v="1583.53"/>
    <n v="5"/>
    <n v="18"/>
    <s v="Returned"/>
    <n v="4750.59"/>
    <n v="237.52950000000001"/>
    <n v="812.35089000000005"/>
    <n v="5325.4113900000002"/>
  </r>
  <r>
    <s v="ORD-1275"/>
    <d v="2024-10-15T00:00:00"/>
    <s v="North"/>
    <s v="Priya Patel"/>
    <x v="1"/>
    <s v="Tennis Racket"/>
    <s v="Retail Store"/>
    <n v="11"/>
    <n v="1297.53"/>
    <n v="0"/>
    <n v="18"/>
    <s v="Completed"/>
    <n v="14272.83"/>
    <n v="0"/>
    <n v="2569.1093999999998"/>
    <n v="16841.939399999999"/>
  </r>
  <r>
    <s v="ORD-1276"/>
    <d v="2024-09-22T00:00:00"/>
    <s v="West"/>
    <s v="Priya Patel"/>
    <x v="2"/>
    <s v="Protein Shake"/>
    <s v="Online"/>
    <n v="17"/>
    <n v="451.78"/>
    <n v="20"/>
    <n v="18"/>
    <s v="Completed"/>
    <n v="7680.2599999999993"/>
    <n v="1536.0519999999999"/>
    <n v="1105.9574399999999"/>
    <n v="7250.1654399999998"/>
  </r>
  <r>
    <s v="ORD-1277"/>
    <d v="2024-12-19T00:00:00"/>
    <s v="South"/>
    <s v="Meera Joshi"/>
    <x v="1"/>
    <s v="Tennis Racket"/>
    <s v="Wholesale"/>
    <n v="30"/>
    <n v="1546.96"/>
    <n v="15"/>
    <n v="18"/>
    <s v="Pending"/>
    <n v="46408.800000000003"/>
    <n v="6961.32"/>
    <n v="7100.5464000000002"/>
    <n v="46548.026400000002"/>
  </r>
  <r>
    <s v="ORD-1278"/>
    <d v="2024-02-29T00:00:00"/>
    <s v="East"/>
    <s v="Arjun Sharma"/>
    <x v="1"/>
    <s v="Dumbbells"/>
    <s v="Direct Sales"/>
    <n v="19"/>
    <n v="837.79"/>
    <n v="0"/>
    <n v="18"/>
    <s v="Completed"/>
    <n v="15918.009999999998"/>
    <n v="0"/>
    <n v="2865.2417999999998"/>
    <n v="18783.251799999998"/>
  </r>
  <r>
    <s v="ORD-1279"/>
    <d v="2024-02-19T00:00:00"/>
    <s v="East"/>
    <s v="Kavya Reddy"/>
    <x v="4"/>
    <s v="Jacket"/>
    <s v="Direct Sales"/>
    <n v="34"/>
    <n v="971.02"/>
    <n v="10"/>
    <n v="18"/>
    <s v="Completed"/>
    <n v="33014.68"/>
    <n v="3301.4679999999998"/>
    <n v="5348.3781600000002"/>
    <n v="35061.59016"/>
  </r>
  <r>
    <s v="ORD-1280"/>
    <d v="2024-11-27T00:00:00"/>
    <s v="East"/>
    <s v="Priya Patel"/>
    <x v="2"/>
    <s v="Energy Bar"/>
    <s v="Wholesale"/>
    <n v="46"/>
    <n v="239.02"/>
    <n v="5"/>
    <n v="18"/>
    <s v="Completed"/>
    <n v="10994.92"/>
    <n v="549.74599999999998"/>
    <n v="1880.1313200000002"/>
    <n v="12325.305320000001"/>
  </r>
  <r>
    <s v="ORD-1281"/>
    <d v="2024-04-28T00:00:00"/>
    <s v="South"/>
    <s v="Rahul Mehta"/>
    <x v="0"/>
    <s v="Smartphone"/>
    <s v="Retail Store"/>
    <n v="36"/>
    <n v="858.48"/>
    <n v="10"/>
    <n v="18"/>
    <s v="Completed"/>
    <n v="30905.279999999999"/>
    <n v="3090.5279999999998"/>
    <n v="5006.6553600000007"/>
    <n v="32821.407359999997"/>
  </r>
  <r>
    <s v="ORD-1282"/>
    <d v="2024-08-18T00:00:00"/>
    <s v="South"/>
    <s v="Aditya Kumar"/>
    <x v="2"/>
    <s v="Organic Tea"/>
    <s v="Direct Sales"/>
    <n v="48"/>
    <n v="1232.07"/>
    <n v="0"/>
    <n v="18"/>
    <s v="Completed"/>
    <n v="59139.360000000001"/>
    <n v="0"/>
    <n v="10645.084800000001"/>
    <n v="69784.444799999997"/>
  </r>
  <r>
    <s v="ORD-1283"/>
    <d v="2024-10-22T00:00:00"/>
    <s v="West"/>
    <s v="Arjun Sharma"/>
    <x v="1"/>
    <s v="Running Shoes"/>
    <s v="Retail Store"/>
    <n v="18"/>
    <n v="1507.13"/>
    <n v="0"/>
    <n v="18"/>
    <s v="Completed"/>
    <n v="27128.340000000004"/>
    <n v="0"/>
    <n v="4883.101200000001"/>
    <n v="32011.441200000005"/>
  </r>
  <r>
    <s v="ORD-1284"/>
    <d v="2024-09-07T00:00:00"/>
    <s v="South"/>
    <s v="Kavya Reddy"/>
    <x v="0"/>
    <s v="Smartwatch"/>
    <s v="Wholesale"/>
    <n v="30"/>
    <n v="236.77"/>
    <n v="20"/>
    <n v="18"/>
    <s v="Completed"/>
    <n v="7103.1"/>
    <n v="1420.62"/>
    <n v="1022.8464000000001"/>
    <n v="6705.3264000000008"/>
  </r>
  <r>
    <s v="ORD-1285"/>
    <d v="2024-03-29T00:00:00"/>
    <s v="West"/>
    <s v="Aditya Kumar"/>
    <x v="1"/>
    <s v="Cycling Helmet"/>
    <s v="Online"/>
    <n v="23"/>
    <n v="1692.58"/>
    <n v="15"/>
    <n v="18"/>
    <s v="Completed"/>
    <n v="38929.339999999997"/>
    <n v="5839.4009999999998"/>
    <n v="5956.1890199999998"/>
    <n v="39046.128019999996"/>
  </r>
  <r>
    <s v="ORD-1286"/>
    <d v="2024-07-10T00:00:00"/>
    <s v="North"/>
    <s v="Rahul Mehta"/>
    <x v="3"/>
    <s v="Wardrobe"/>
    <s v="Wholesale"/>
    <n v="16"/>
    <n v="617.71"/>
    <n v="0"/>
    <n v="18"/>
    <s v="Completed"/>
    <n v="9883.36"/>
    <n v="0"/>
    <n v="1779.0048000000002"/>
    <n v="11662.364800000001"/>
  </r>
  <r>
    <s v="ORD-1287"/>
    <d v="2024-11-21T00:00:00"/>
    <s v="West"/>
    <s v="Aditya Kumar"/>
    <x v="4"/>
    <s v="Sneakers"/>
    <s v="Retail Store"/>
    <n v="25"/>
    <n v="851.85"/>
    <n v="10"/>
    <n v="18"/>
    <s v="Returned"/>
    <n v="21296.25"/>
    <n v="2129.625"/>
    <n v="3449.9924999999998"/>
    <n v="22616.6175"/>
  </r>
  <r>
    <s v="ORD-1288"/>
    <d v="2024-11-13T00:00:00"/>
    <s v="South"/>
    <s v="Meera Joshi"/>
    <x v="1"/>
    <s v="Dumbbells"/>
    <s v="Wholesale"/>
    <n v="12"/>
    <n v="636.01"/>
    <n v="10"/>
    <n v="18"/>
    <s v="Completed"/>
    <n v="7632.12"/>
    <n v="763.21199999999999"/>
    <n v="1236.4034399999998"/>
    <n v="8105.3114399999995"/>
  </r>
  <r>
    <s v="ORD-1289"/>
    <d v="2024-11-30T00:00:00"/>
    <s v="North"/>
    <s v="Meera Joshi"/>
    <x v="0"/>
    <s v="Tablet"/>
    <s v="Retail Store"/>
    <n v="25"/>
    <n v="1928.02"/>
    <n v="15"/>
    <n v="18"/>
    <s v="Completed"/>
    <n v="48200.5"/>
    <n v="7230.0749999999998"/>
    <n v="7374.6765000000005"/>
    <n v="48345.101500000004"/>
  </r>
  <r>
    <s v="ORD-1290"/>
    <d v="2024-04-22T00:00:00"/>
    <s v="West"/>
    <s v="Aditya Kumar"/>
    <x v="2"/>
    <s v="Energy Bar"/>
    <s v="Direct Sales"/>
    <n v="11"/>
    <n v="174.51"/>
    <n v="0"/>
    <n v="18"/>
    <s v="Pending"/>
    <n v="1919.61"/>
    <n v="0"/>
    <n v="345.52979999999997"/>
    <n v="2265.1397999999999"/>
  </r>
  <r>
    <s v="ORD-1291"/>
    <d v="2024-09-10T00:00:00"/>
    <s v="East"/>
    <s v="Sneha Iyer"/>
    <x v="3"/>
    <s v="Sofa"/>
    <s v="Wholesale"/>
    <n v="50"/>
    <n v="920.07"/>
    <n v="20"/>
    <n v="18"/>
    <s v="Completed"/>
    <n v="46003.5"/>
    <n v="9200.7000000000007"/>
    <n v="6624.5039999999999"/>
    <n v="43427.304000000004"/>
  </r>
  <r>
    <s v="ORD-1292"/>
    <d v="2024-08-13T00:00:00"/>
    <s v="North"/>
    <s v="Priya Patel"/>
    <x v="1"/>
    <s v="Tennis Racket"/>
    <s v="Wholesale"/>
    <n v="24"/>
    <n v="1088.67"/>
    <n v="0"/>
    <n v="18"/>
    <s v="Returned"/>
    <n v="26128.080000000002"/>
    <n v="0"/>
    <n v="4703.0544000000009"/>
    <n v="30831.134400000003"/>
  </r>
  <r>
    <s v="ORD-1293"/>
    <d v="2024-02-14T00:00:00"/>
    <s v="West"/>
    <s v="Priya Patel"/>
    <x v="1"/>
    <s v="Dumbbells"/>
    <s v="Retail Store"/>
    <n v="3"/>
    <n v="904.97"/>
    <n v="5"/>
    <n v="18"/>
    <s v="Completed"/>
    <n v="2714.91"/>
    <n v="135.74549999999999"/>
    <n v="464.24960999999996"/>
    <n v="3043.4141099999997"/>
  </r>
  <r>
    <s v="ORD-1294"/>
    <d v="2024-03-12T00:00:00"/>
    <s v="South"/>
    <s v="Sneha Iyer"/>
    <x v="2"/>
    <s v="Coffee Beans"/>
    <s v="Wholesale"/>
    <n v="41"/>
    <n v="862.05"/>
    <n v="15"/>
    <n v="18"/>
    <s v="Returned"/>
    <n v="35344.049999999996"/>
    <n v="5301.6074999999992"/>
    <n v="5407.6396500000001"/>
    <n v="35450.082149999995"/>
  </r>
  <r>
    <s v="ORD-1295"/>
    <d v="2024-05-29T00:00:00"/>
    <s v="North"/>
    <s v="Kavya Reddy"/>
    <x v="4"/>
    <s v="Jeans"/>
    <s v="Wholesale"/>
    <n v="35"/>
    <n v="345.07"/>
    <n v="20"/>
    <n v="18"/>
    <s v="Returned"/>
    <n v="12077.449999999999"/>
    <n v="2415.4899999999998"/>
    <n v="1739.1527999999996"/>
    <n v="11401.112799999999"/>
  </r>
  <r>
    <s v="ORD-1296"/>
    <d v="2024-03-05T00:00:00"/>
    <s v="East"/>
    <s v="Priya Patel"/>
    <x v="3"/>
    <s v="Wardrobe"/>
    <s v="Retail Store"/>
    <n v="4"/>
    <n v="1985.05"/>
    <n v="20"/>
    <n v="18"/>
    <s v="Pending"/>
    <n v="7940.2"/>
    <n v="1588.04"/>
    <n v="1143.3887999999999"/>
    <n v="7495.5487999999996"/>
  </r>
  <r>
    <s v="ORD-1297"/>
    <d v="2024-05-17T00:00:00"/>
    <s v="South"/>
    <s v="Kavya Reddy"/>
    <x v="4"/>
    <s v="Jeans"/>
    <s v="Retail Store"/>
    <n v="32"/>
    <n v="292.92"/>
    <n v="20"/>
    <n v="18"/>
    <s v="Pending"/>
    <n v="9373.44"/>
    <n v="1874.6880000000001"/>
    <n v="1349.7753600000003"/>
    <n v="8848.52736"/>
  </r>
  <r>
    <s v="ORD-1298"/>
    <d v="2024-07-07T00:00:00"/>
    <s v="West"/>
    <s v="Priya Patel"/>
    <x v="2"/>
    <s v="Energy Bar"/>
    <s v="Online"/>
    <n v="33"/>
    <n v="1502.11"/>
    <n v="20"/>
    <n v="18"/>
    <s v="Pending"/>
    <n v="49569.63"/>
    <n v="9913.9259999999995"/>
    <n v="7138.0267199999998"/>
    <n v="46793.73072"/>
  </r>
  <r>
    <s v="ORD-1299"/>
    <d v="2024-02-02T00:00:00"/>
    <s v="East"/>
    <s v="Arjun Sharma"/>
    <x v="2"/>
    <s v="Energy Bar"/>
    <s v="Online"/>
    <n v="41"/>
    <n v="1331.65"/>
    <n v="5"/>
    <n v="18"/>
    <s v="Pending"/>
    <n v="54597.65"/>
    <n v="2729.8825000000002"/>
    <n v="9336.1981500000002"/>
    <n v="61203.965649999998"/>
  </r>
  <r>
    <s v="ORD-1300"/>
    <d v="2024-06-21T00:00:00"/>
    <s v="South"/>
    <s v="Aditya Kumar"/>
    <x v="1"/>
    <s v="Running Shoes"/>
    <s v="Retail Store"/>
    <n v="18"/>
    <n v="652.5"/>
    <n v="5"/>
    <n v="18"/>
    <s v="Pending"/>
    <n v="11745"/>
    <n v="587.25"/>
    <n v="2008.395"/>
    <n v="13166.145"/>
  </r>
  <r>
    <s v="ORD-1301"/>
    <d v="2024-01-09T00:00:00"/>
    <s v="South"/>
    <s v="Meera Joshi"/>
    <x v="1"/>
    <s v="Tennis Racket"/>
    <s v="Wholesale"/>
    <n v="3"/>
    <n v="208.15"/>
    <n v="10"/>
    <n v="18"/>
    <s v="Completed"/>
    <n v="624.45000000000005"/>
    <n v="62.445"/>
    <n v="101.1609"/>
    <n v="663.16589999999997"/>
  </r>
  <r>
    <s v="ORD-1302"/>
    <d v="2024-11-28T00:00:00"/>
    <s v="West"/>
    <s v="Meera Joshi"/>
    <x v="0"/>
    <s v="Smartphone"/>
    <s v="Online"/>
    <n v="13"/>
    <n v="1991.43"/>
    <n v="0"/>
    <n v="18"/>
    <s v="Pending"/>
    <n v="25888.59"/>
    <n v="0"/>
    <n v="4659.9462000000003"/>
    <n v="30548.536200000002"/>
  </r>
  <r>
    <s v="ORD-1303"/>
    <d v="2024-03-25T00:00:00"/>
    <s v="East"/>
    <s v="Priya Patel"/>
    <x v="3"/>
    <s v="Dining Table"/>
    <s v="Wholesale"/>
    <n v="6"/>
    <n v="749.97"/>
    <n v="20"/>
    <n v="18"/>
    <s v="Completed"/>
    <n v="4499.82"/>
    <n v="899.96399999999994"/>
    <n v="647.97407999999996"/>
    <n v="4247.8300799999997"/>
  </r>
  <r>
    <s v="ORD-1304"/>
    <d v="2024-09-01T00:00:00"/>
    <s v="East"/>
    <s v="Sneha Iyer"/>
    <x v="0"/>
    <s v="Headphones"/>
    <s v="Direct Sales"/>
    <n v="46"/>
    <n v="199.42"/>
    <n v="0"/>
    <n v="18"/>
    <s v="Completed"/>
    <n v="9173.32"/>
    <n v="0"/>
    <n v="1651.1976000000002"/>
    <n v="10824.517599999999"/>
  </r>
  <r>
    <s v="ORD-1305"/>
    <d v="2024-08-04T00:00:00"/>
    <s v="South"/>
    <s v="Meera Joshi"/>
    <x v="0"/>
    <s v="Smartphone"/>
    <s v="Online"/>
    <n v="45"/>
    <n v="693.71"/>
    <n v="0"/>
    <n v="18"/>
    <s v="Completed"/>
    <n v="31216.95"/>
    <n v="0"/>
    <n v="5619.0509999999995"/>
    <n v="36836.001000000004"/>
  </r>
  <r>
    <s v="ORD-1306"/>
    <d v="2024-06-09T00:00:00"/>
    <s v="North"/>
    <s v="Sneha Iyer"/>
    <x v="4"/>
    <s v="Dress"/>
    <s v="Direct Sales"/>
    <n v="47"/>
    <n v="1613.85"/>
    <n v="0"/>
    <n v="18"/>
    <s v="Completed"/>
    <n v="75850.95"/>
    <n v="0"/>
    <n v="13653.170999999998"/>
    <n v="89504.120999999999"/>
  </r>
  <r>
    <s v="ORD-1307"/>
    <d v="2024-11-08T00:00:00"/>
    <s v="South"/>
    <s v="Aditya Kumar"/>
    <x v="3"/>
    <s v="Bookshelf"/>
    <s v="Retail Store"/>
    <n v="5"/>
    <n v="1065.71"/>
    <n v="0"/>
    <n v="18"/>
    <s v="Completed"/>
    <n v="5328.55"/>
    <n v="0"/>
    <n v="959.13900000000012"/>
    <n v="6287.6890000000003"/>
  </r>
  <r>
    <s v="ORD-1308"/>
    <d v="2024-02-14T00:00:00"/>
    <s v="East"/>
    <s v="Sneha Iyer"/>
    <x v="4"/>
    <s v="Dress"/>
    <s v="Retail Store"/>
    <n v="40"/>
    <n v="1376.27"/>
    <n v="0"/>
    <n v="18"/>
    <s v="Pending"/>
    <n v="55050.8"/>
    <n v="0"/>
    <n v="9909.1440000000002"/>
    <n v="64959.944000000003"/>
  </r>
  <r>
    <s v="ORD-1309"/>
    <d v="2024-05-21T00:00:00"/>
    <s v="North"/>
    <s v="Aditya Kumar"/>
    <x v="0"/>
    <s v="Smartphone"/>
    <s v="Wholesale"/>
    <n v="21"/>
    <n v="1584.24"/>
    <n v="0"/>
    <n v="18"/>
    <s v="Pending"/>
    <n v="33269.040000000001"/>
    <n v="0"/>
    <n v="5988.4272000000001"/>
    <n v="39257.467199999999"/>
  </r>
  <r>
    <s v="ORD-1310"/>
    <d v="2024-07-19T00:00:00"/>
    <s v="East"/>
    <s v="Arjun Sharma"/>
    <x v="0"/>
    <s v="Smartphone"/>
    <s v="Wholesale"/>
    <n v="34"/>
    <n v="1217.78"/>
    <n v="0"/>
    <n v="18"/>
    <s v="Completed"/>
    <n v="41404.519999999997"/>
    <n v="0"/>
    <n v="7452.8135999999995"/>
    <n v="48857.333599999998"/>
  </r>
  <r>
    <s v="ORD-1311"/>
    <d v="2024-02-06T00:00:00"/>
    <s v="South"/>
    <s v="Meera Joshi"/>
    <x v="3"/>
    <s v="Sofa"/>
    <s v="Direct Sales"/>
    <n v="16"/>
    <n v="1004.17"/>
    <n v="15"/>
    <n v="18"/>
    <s v="Completed"/>
    <n v="16066.72"/>
    <n v="2410.0079999999998"/>
    <n v="2458.2081600000001"/>
    <n v="16114.92016"/>
  </r>
  <r>
    <s v="ORD-1312"/>
    <d v="2024-12-15T00:00:00"/>
    <s v="East"/>
    <s v="Kavya Reddy"/>
    <x v="1"/>
    <s v="Yoga Mat"/>
    <s v="Retail Store"/>
    <n v="37"/>
    <n v="847.52"/>
    <n v="15"/>
    <n v="18"/>
    <s v="Pending"/>
    <n v="31358.239999999998"/>
    <n v="4703.7359999999999"/>
    <n v="4797.8107199999995"/>
    <n v="31452.314719999995"/>
  </r>
  <r>
    <s v="ORD-1313"/>
    <d v="2024-07-22T00:00:00"/>
    <s v="North"/>
    <s v="Arjun Sharma"/>
    <x v="4"/>
    <s v="Dress"/>
    <s v="Online"/>
    <n v="17"/>
    <n v="439.33"/>
    <n v="0"/>
    <n v="18"/>
    <s v="Completed"/>
    <n v="7468.61"/>
    <n v="0"/>
    <n v="1344.3497999999997"/>
    <n v="8812.9597999999987"/>
  </r>
  <r>
    <s v="ORD-1314"/>
    <d v="2024-03-19T00:00:00"/>
    <s v="West"/>
    <s v="Aditya Kumar"/>
    <x v="1"/>
    <s v="Cycling Helmet"/>
    <s v="Direct Sales"/>
    <n v="41"/>
    <n v="1077.76"/>
    <n v="15"/>
    <n v="18"/>
    <s v="Completed"/>
    <n v="44188.159999999996"/>
    <n v="6628.2239999999993"/>
    <n v="6760.7884799999993"/>
    <n v="44320.72447999999"/>
  </r>
  <r>
    <s v="ORD-1315"/>
    <d v="2024-11-20T00:00:00"/>
    <s v="East"/>
    <s v="Priya Patel"/>
    <x v="3"/>
    <s v="Sofa"/>
    <s v="Retail Store"/>
    <n v="35"/>
    <n v="660.23"/>
    <n v="15"/>
    <n v="18"/>
    <s v="Completed"/>
    <n v="23108.05"/>
    <n v="3466.2075"/>
    <n v="3535.5316499999999"/>
    <n v="23177.37415"/>
  </r>
  <r>
    <s v="ORD-1316"/>
    <d v="2024-08-20T00:00:00"/>
    <s v="West"/>
    <s v="Sneha Iyer"/>
    <x v="0"/>
    <s v="Tablet"/>
    <s v="Online"/>
    <n v="6"/>
    <n v="1850.01"/>
    <n v="0"/>
    <n v="18"/>
    <s v="Completed"/>
    <n v="11100.06"/>
    <n v="0"/>
    <n v="1998.0107999999998"/>
    <n v="13098.0708"/>
  </r>
  <r>
    <s v="ORD-1317"/>
    <d v="2024-01-06T00:00:00"/>
    <s v="North"/>
    <s v="Vikram Nair"/>
    <x v="1"/>
    <s v="Tennis Racket"/>
    <s v="Retail Store"/>
    <n v="1"/>
    <n v="1418.72"/>
    <n v="20"/>
    <n v="18"/>
    <s v="Completed"/>
    <n v="1418.72"/>
    <n v="283.74400000000003"/>
    <n v="204.29568000000003"/>
    <n v="1339.2716800000001"/>
  </r>
  <r>
    <s v="ORD-1318"/>
    <d v="2024-03-01T00:00:00"/>
    <s v="East"/>
    <s v="Vikram Nair"/>
    <x v="4"/>
    <s v="Dress"/>
    <s v="Retail Store"/>
    <n v="9"/>
    <n v="1502.06"/>
    <n v="5"/>
    <n v="18"/>
    <s v="Completed"/>
    <n v="13518.539999999999"/>
    <n v="675.92700000000002"/>
    <n v="2311.6703399999997"/>
    <n v="15154.283339999998"/>
  </r>
  <r>
    <s v="ORD-1319"/>
    <d v="2024-02-09T00:00:00"/>
    <s v="West"/>
    <s v="Vikram Nair"/>
    <x v="0"/>
    <s v="Tablet"/>
    <s v="Online"/>
    <n v="46"/>
    <n v="1950.35"/>
    <n v="20"/>
    <n v="18"/>
    <s v="Completed"/>
    <n v="89716.099999999991"/>
    <n v="17943.219999999998"/>
    <n v="12919.118399999999"/>
    <n v="84691.998399999982"/>
  </r>
  <r>
    <s v="ORD-1320"/>
    <d v="2024-02-22T00:00:00"/>
    <s v="East"/>
    <s v="Arjun Sharma"/>
    <x v="2"/>
    <s v="Energy Bar"/>
    <s v="Direct Sales"/>
    <n v="11"/>
    <n v="741.7"/>
    <n v="5"/>
    <n v="18"/>
    <s v="Returned"/>
    <n v="8158.7000000000007"/>
    <n v="407.935"/>
    <n v="1395.1377000000002"/>
    <n v="9145.9027000000006"/>
  </r>
  <r>
    <s v="ORD-1321"/>
    <d v="2024-07-15T00:00:00"/>
    <s v="South"/>
    <s v="Arjun Sharma"/>
    <x v="1"/>
    <s v="Yoga Mat"/>
    <s v="Online"/>
    <n v="16"/>
    <n v="101.5"/>
    <n v="5"/>
    <n v="18"/>
    <s v="Completed"/>
    <n v="1624"/>
    <n v="81.2"/>
    <n v="277.70399999999995"/>
    <n v="1820.5039999999999"/>
  </r>
  <r>
    <s v="ORD-1322"/>
    <d v="2024-06-12T00:00:00"/>
    <s v="North"/>
    <s v="Aditya Kumar"/>
    <x v="4"/>
    <s v="Jeans"/>
    <s v="Retail Store"/>
    <n v="16"/>
    <n v="838.35"/>
    <n v="20"/>
    <n v="18"/>
    <s v="Completed"/>
    <n v="13413.6"/>
    <n v="2682.72"/>
    <n v="1931.5584000000003"/>
    <n v="12662.438400000001"/>
  </r>
  <r>
    <s v="ORD-1323"/>
    <d v="2024-07-24T00:00:00"/>
    <s v="East"/>
    <s v="Priya Patel"/>
    <x v="3"/>
    <s v="Sofa"/>
    <s v="Online"/>
    <n v="15"/>
    <n v="1610.63"/>
    <n v="0"/>
    <n v="18"/>
    <s v="Completed"/>
    <n v="24159.45"/>
    <n v="0"/>
    <n v="4348.701"/>
    <n v="28508.151000000002"/>
  </r>
  <r>
    <s v="ORD-1324"/>
    <d v="2024-04-12T00:00:00"/>
    <s v="East"/>
    <s v="Vikram Nair"/>
    <x v="0"/>
    <s v="Headphones"/>
    <s v="Wholesale"/>
    <n v="36"/>
    <n v="918.92"/>
    <n v="5"/>
    <n v="18"/>
    <s v="Completed"/>
    <n v="33081.119999999995"/>
    <n v="1654.0559999999998"/>
    <n v="5656.8715199999988"/>
    <n v="37083.935519999992"/>
  </r>
  <r>
    <s v="ORD-1325"/>
    <d v="2024-10-06T00:00:00"/>
    <s v="East"/>
    <s v="Sneha Iyer"/>
    <x v="3"/>
    <s v="Wardrobe"/>
    <s v="Direct Sales"/>
    <n v="38"/>
    <n v="1944"/>
    <n v="0"/>
    <n v="18"/>
    <s v="Completed"/>
    <n v="73872"/>
    <n v="0"/>
    <n v="13296.96"/>
    <n v="87168.959999999992"/>
  </r>
  <r>
    <s v="ORD-1326"/>
    <d v="2024-01-05T00:00:00"/>
    <s v="North"/>
    <s v="Aditya Kumar"/>
    <x v="4"/>
    <s v="Jeans"/>
    <s v="Online"/>
    <n v="35"/>
    <n v="699.38"/>
    <n v="20"/>
    <n v="18"/>
    <s v="Completed"/>
    <n v="24478.3"/>
    <n v="4895.66"/>
    <n v="3524.8752000000004"/>
    <n v="23107.515200000002"/>
  </r>
  <r>
    <s v="ORD-1327"/>
    <d v="2024-09-08T00:00:00"/>
    <s v="West"/>
    <s v="Vikram Nair"/>
    <x v="3"/>
    <s v="Sofa"/>
    <s v="Online"/>
    <n v="34"/>
    <n v="1966.4"/>
    <n v="10"/>
    <n v="18"/>
    <s v="Completed"/>
    <n v="66857.600000000006"/>
    <n v="6685.76"/>
    <n v="10830.931200000001"/>
    <n v="71002.771200000003"/>
  </r>
  <r>
    <s v="ORD-1328"/>
    <d v="2024-08-22T00:00:00"/>
    <s v="East"/>
    <s v="Priya Patel"/>
    <x v="0"/>
    <s v="Smartphone"/>
    <s v="Online"/>
    <n v="34"/>
    <n v="831.98"/>
    <n v="5"/>
    <n v="18"/>
    <s v="Completed"/>
    <n v="28287.32"/>
    <n v="1414.366"/>
    <n v="4837.1317199999994"/>
    <n v="31710.085719999995"/>
  </r>
  <r>
    <s v="ORD-1329"/>
    <d v="2024-12-05T00:00:00"/>
    <s v="North"/>
    <s v="Rahul Mehta"/>
    <x v="0"/>
    <s v="Smartwatch"/>
    <s v="Direct Sales"/>
    <n v="38"/>
    <n v="1139.96"/>
    <n v="10"/>
    <n v="18"/>
    <s v="Completed"/>
    <n v="43318.48"/>
    <n v="4331.8480000000009"/>
    <n v="7017.5937600000007"/>
    <n v="46004.225760000008"/>
  </r>
  <r>
    <s v="ORD-1330"/>
    <d v="2024-06-11T00:00:00"/>
    <s v="East"/>
    <s v="Vikram Nair"/>
    <x v="4"/>
    <s v="Jeans"/>
    <s v="Wholesale"/>
    <n v="45"/>
    <n v="1665.48"/>
    <n v="5"/>
    <n v="18"/>
    <s v="Pending"/>
    <n v="74946.600000000006"/>
    <n v="3747.33"/>
    <n v="12815.868600000002"/>
    <n v="84015.138600000006"/>
  </r>
  <r>
    <s v="ORD-1331"/>
    <d v="2024-03-20T00:00:00"/>
    <s v="South"/>
    <s v="Priya Patel"/>
    <x v="2"/>
    <s v="Protein Shake"/>
    <s v="Retail Store"/>
    <n v="50"/>
    <n v="1542.59"/>
    <n v="0"/>
    <n v="18"/>
    <s v="Completed"/>
    <n v="77129.5"/>
    <n v="0"/>
    <n v="13883.31"/>
    <n v="91012.81"/>
  </r>
  <r>
    <s v="ORD-1332"/>
    <d v="2024-08-19T00:00:00"/>
    <s v="West"/>
    <s v="Meera Joshi"/>
    <x v="0"/>
    <s v="Smartphone"/>
    <s v="Wholesale"/>
    <n v="8"/>
    <n v="1076.49"/>
    <n v="0"/>
    <n v="18"/>
    <s v="Pending"/>
    <n v="8611.92"/>
    <n v="0"/>
    <n v="1550.1456000000001"/>
    <n v="10162.0656"/>
  </r>
  <r>
    <s v="ORD-1333"/>
    <d v="2024-12-22T00:00:00"/>
    <s v="East"/>
    <s v="Priya Patel"/>
    <x v="3"/>
    <s v="Office Chair"/>
    <s v="Online"/>
    <n v="44"/>
    <n v="615.39"/>
    <n v="20"/>
    <n v="18"/>
    <s v="Completed"/>
    <n v="27077.16"/>
    <n v="5415.4319999999998"/>
    <n v="3899.1110399999998"/>
    <n v="25560.839039999999"/>
  </r>
  <r>
    <s v="ORD-1334"/>
    <d v="2024-07-21T00:00:00"/>
    <s v="South"/>
    <s v="Kavya Reddy"/>
    <x v="1"/>
    <s v="Yoga Mat"/>
    <s v="Retail Store"/>
    <n v="46"/>
    <n v="503.96"/>
    <n v="5"/>
    <n v="18"/>
    <s v="Completed"/>
    <n v="23182.16"/>
    <n v="1159.1079999999999"/>
    <n v="3964.1493599999999"/>
    <n v="25987.201359999999"/>
  </r>
  <r>
    <s v="ORD-1335"/>
    <d v="2024-10-08T00:00:00"/>
    <s v="East"/>
    <s v="Vikram Nair"/>
    <x v="1"/>
    <s v="Yoga Mat"/>
    <s v="Retail Store"/>
    <n v="26"/>
    <n v="1710.66"/>
    <n v="15"/>
    <n v="18"/>
    <s v="Completed"/>
    <n v="44477.16"/>
    <n v="6671.5740000000005"/>
    <n v="6805.0054800000007"/>
    <n v="44610.591480000003"/>
  </r>
  <r>
    <s v="ORD-1336"/>
    <d v="2024-03-07T00:00:00"/>
    <s v="West"/>
    <s v="Priya Patel"/>
    <x v="4"/>
    <s v="T-Shirt"/>
    <s v="Retail Store"/>
    <n v="1"/>
    <n v="132.72"/>
    <n v="0"/>
    <n v="18"/>
    <s v="Completed"/>
    <n v="132.72"/>
    <n v="0"/>
    <n v="23.889600000000002"/>
    <n v="156.6096"/>
  </r>
  <r>
    <s v="ORD-1337"/>
    <d v="2024-11-26T00:00:00"/>
    <s v="East"/>
    <s v="Priya Patel"/>
    <x v="4"/>
    <s v="Dress"/>
    <s v="Wholesale"/>
    <n v="2"/>
    <n v="1994.35"/>
    <n v="0"/>
    <n v="18"/>
    <s v="Completed"/>
    <n v="3988.7"/>
    <n v="0"/>
    <n v="717.96599999999989"/>
    <n v="4706.6659999999993"/>
  </r>
  <r>
    <s v="ORD-1338"/>
    <d v="2024-08-09T00:00:00"/>
    <s v="North"/>
    <s v="Kavya Reddy"/>
    <x v="2"/>
    <s v="Organic Tea"/>
    <s v="Online"/>
    <n v="30"/>
    <n v="110.77"/>
    <n v="15"/>
    <n v="18"/>
    <s v="Completed"/>
    <n v="3323.1"/>
    <n v="498.46499999999997"/>
    <n v="508.43429999999995"/>
    <n v="3333.0692999999997"/>
  </r>
  <r>
    <s v="ORD-1339"/>
    <d v="2024-05-20T00:00:00"/>
    <s v="North"/>
    <s v="Aditya Kumar"/>
    <x v="2"/>
    <s v="Energy Bar"/>
    <s v="Direct Sales"/>
    <n v="23"/>
    <n v="437.29"/>
    <n v="0"/>
    <n v="18"/>
    <s v="Completed"/>
    <n v="10057.67"/>
    <n v="0"/>
    <n v="1810.3806"/>
    <n v="11868.0506"/>
  </r>
  <r>
    <s v="ORD-1340"/>
    <d v="2024-09-02T00:00:00"/>
    <s v="South"/>
    <s v="Arjun Sharma"/>
    <x v="3"/>
    <s v="Office Chair"/>
    <s v="Retail Store"/>
    <n v="32"/>
    <n v="829.86"/>
    <n v="15"/>
    <n v="18"/>
    <s v="Completed"/>
    <n v="26555.52"/>
    <n v="3983.328"/>
    <n v="4062.9945600000001"/>
    <n v="26635.186559999998"/>
  </r>
  <r>
    <s v="ORD-1341"/>
    <d v="2024-05-07T00:00:00"/>
    <s v="East"/>
    <s v="Aditya Kumar"/>
    <x v="0"/>
    <s v="Laptop"/>
    <s v="Retail Store"/>
    <n v="13"/>
    <n v="1288.8800000000001"/>
    <n v="15"/>
    <n v="18"/>
    <s v="Pending"/>
    <n v="16755.440000000002"/>
    <n v="2513.3160000000003"/>
    <n v="2563.58232"/>
    <n v="16805.706320000001"/>
  </r>
  <r>
    <s v="ORD-1342"/>
    <d v="2024-09-14T00:00:00"/>
    <s v="West"/>
    <s v="Kavya Reddy"/>
    <x v="1"/>
    <s v="Yoga Mat"/>
    <s v="Direct Sales"/>
    <n v="32"/>
    <n v="694.63"/>
    <n v="15"/>
    <n v="18"/>
    <s v="Returned"/>
    <n v="22228.16"/>
    <n v="3334.2240000000002"/>
    <n v="3400.9084800000001"/>
    <n v="22294.84448"/>
  </r>
  <r>
    <s v="ORD-1343"/>
    <d v="2024-01-30T00:00:00"/>
    <s v="East"/>
    <s v="Rahul Mehta"/>
    <x v="3"/>
    <s v="Office Chair"/>
    <s v="Online"/>
    <n v="39"/>
    <n v="445.85"/>
    <n v="5"/>
    <n v="18"/>
    <s v="Completed"/>
    <n v="17388.150000000001"/>
    <n v="869.40750000000003"/>
    <n v="2973.37365"/>
    <n v="19492.116150000002"/>
  </r>
  <r>
    <s v="ORD-1344"/>
    <d v="2024-09-30T00:00:00"/>
    <s v="East"/>
    <s v="Sneha Iyer"/>
    <x v="2"/>
    <s v="Juice Pack"/>
    <s v="Retail Store"/>
    <n v="16"/>
    <n v="1317.16"/>
    <n v="5"/>
    <n v="18"/>
    <s v="Completed"/>
    <n v="21074.560000000001"/>
    <n v="1053.7280000000001"/>
    <n v="3603.7497600000002"/>
    <n v="23624.581760000001"/>
  </r>
  <r>
    <s v="ORD-1345"/>
    <d v="2024-12-23T00:00:00"/>
    <s v="West"/>
    <s v="Kavya Reddy"/>
    <x v="0"/>
    <s v="Smartphone"/>
    <s v="Retail Store"/>
    <n v="16"/>
    <n v="1189.1099999999999"/>
    <n v="20"/>
    <n v="18"/>
    <s v="Completed"/>
    <n v="19025.759999999998"/>
    <n v="3805.1519999999996"/>
    <n v="2739.7094399999996"/>
    <n v="17960.317439999999"/>
  </r>
  <r>
    <s v="ORD-1346"/>
    <d v="2024-10-04T00:00:00"/>
    <s v="North"/>
    <s v="Kavya Reddy"/>
    <x v="3"/>
    <s v="Wardrobe"/>
    <s v="Retail Store"/>
    <n v="13"/>
    <n v="1675.03"/>
    <n v="10"/>
    <n v="18"/>
    <s v="Returned"/>
    <n v="21775.39"/>
    <n v="2177.5389999999998"/>
    <n v="3527.6131799999998"/>
    <n v="23125.464179999999"/>
  </r>
  <r>
    <s v="ORD-1347"/>
    <d v="2024-09-26T00:00:00"/>
    <s v="West"/>
    <s v="Arjun Sharma"/>
    <x v="3"/>
    <s v="Dining Table"/>
    <s v="Online"/>
    <n v="15"/>
    <n v="1207.31"/>
    <n v="0"/>
    <n v="18"/>
    <s v="Completed"/>
    <n v="18109.649999999998"/>
    <n v="0"/>
    <n v="3259.7369999999996"/>
    <n v="21369.386999999999"/>
  </r>
  <r>
    <s v="ORD-1348"/>
    <d v="2024-01-31T00:00:00"/>
    <s v="East"/>
    <s v="Sneha Iyer"/>
    <x v="2"/>
    <s v="Coffee Beans"/>
    <s v="Retail Store"/>
    <n v="46"/>
    <n v="363.15"/>
    <n v="5"/>
    <n v="18"/>
    <s v="Completed"/>
    <n v="16704.899999999998"/>
    <n v="835.24499999999989"/>
    <n v="2856.5378999999998"/>
    <n v="18726.192899999998"/>
  </r>
  <r>
    <s v="ORD-1349"/>
    <d v="2024-07-21T00:00:00"/>
    <s v="South"/>
    <s v="Priya Patel"/>
    <x v="0"/>
    <s v="Smartphone"/>
    <s v="Wholesale"/>
    <n v="24"/>
    <n v="1412.03"/>
    <n v="20"/>
    <n v="18"/>
    <s v="Completed"/>
    <n v="33888.720000000001"/>
    <n v="6777.7440000000006"/>
    <n v="4879.9756800000005"/>
    <n v="31990.951680000002"/>
  </r>
  <r>
    <s v="ORD-1350"/>
    <d v="2024-11-23T00:00:00"/>
    <s v="East"/>
    <s v="Vikram Nair"/>
    <x v="1"/>
    <s v="Yoga Mat"/>
    <s v="Wholesale"/>
    <n v="11"/>
    <n v="1467.38"/>
    <n v="10"/>
    <n v="18"/>
    <s v="Completed"/>
    <n v="16141.18"/>
    <n v="1614.1179999999999"/>
    <n v="2614.8711600000001"/>
    <n v="17141.93316"/>
  </r>
  <r>
    <s v="ORD-1351"/>
    <d v="2024-12-18T00:00:00"/>
    <s v="South"/>
    <s v="Kavya Reddy"/>
    <x v="2"/>
    <s v="Protein Shake"/>
    <s v="Retail Store"/>
    <n v="12"/>
    <n v="762.98"/>
    <n v="20"/>
    <n v="18"/>
    <s v="Returned"/>
    <n v="9155.76"/>
    <n v="1831.152"/>
    <n v="1318.4294400000001"/>
    <n v="8643.0374400000001"/>
  </r>
  <r>
    <s v="ORD-1352"/>
    <d v="2024-11-09T00:00:00"/>
    <s v="South"/>
    <s v="Arjun Sharma"/>
    <x v="3"/>
    <s v="Dining Table"/>
    <s v="Direct Sales"/>
    <n v="3"/>
    <n v="372.34"/>
    <n v="5"/>
    <n v="18"/>
    <s v="Returned"/>
    <n v="1117.02"/>
    <n v="55.851000000000006"/>
    <n v="191.01041999999998"/>
    <n v="1252.1794199999999"/>
  </r>
  <r>
    <s v="ORD-1353"/>
    <d v="2024-06-12T00:00:00"/>
    <s v="North"/>
    <s v="Meera Joshi"/>
    <x v="4"/>
    <s v="Sneakers"/>
    <s v="Retail Store"/>
    <n v="48"/>
    <n v="164.84"/>
    <n v="5"/>
    <n v="18"/>
    <s v="Completed"/>
    <n v="7912.32"/>
    <n v="395.61599999999999"/>
    <n v="1353.0067199999999"/>
    <n v="8869.7107199999991"/>
  </r>
  <r>
    <s v="ORD-1354"/>
    <d v="2024-06-28T00:00:00"/>
    <s v="East"/>
    <s v="Meera Joshi"/>
    <x v="4"/>
    <s v="T-Shirt"/>
    <s v="Online"/>
    <n v="14"/>
    <n v="506.59"/>
    <n v="0"/>
    <n v="18"/>
    <s v="Completed"/>
    <n v="7092.2599999999993"/>
    <n v="0"/>
    <n v="1276.6068"/>
    <n v="8368.8667999999998"/>
  </r>
  <r>
    <s v="ORD-1355"/>
    <d v="2024-07-30T00:00:00"/>
    <s v="North"/>
    <s v="Arjun Sharma"/>
    <x v="3"/>
    <s v="Sofa"/>
    <s v="Direct Sales"/>
    <n v="47"/>
    <n v="845.11"/>
    <n v="0"/>
    <n v="18"/>
    <s v="Pending"/>
    <n v="39720.17"/>
    <n v="0"/>
    <n v="7149.6305999999995"/>
    <n v="46869.800599999995"/>
  </r>
  <r>
    <s v="ORD-1356"/>
    <d v="2024-04-25T00:00:00"/>
    <s v="East"/>
    <s v="Aditya Kumar"/>
    <x v="2"/>
    <s v="Energy Bar"/>
    <s v="Online"/>
    <n v="37"/>
    <n v="1305.43"/>
    <n v="20"/>
    <n v="18"/>
    <s v="Pending"/>
    <n v="48300.91"/>
    <n v="9660.1820000000007"/>
    <n v="6955.3310400000009"/>
    <n v="45596.059040000007"/>
  </r>
  <r>
    <s v="ORD-1357"/>
    <d v="2024-02-07T00:00:00"/>
    <s v="North"/>
    <s v="Arjun Sharma"/>
    <x v="4"/>
    <s v="Dress"/>
    <s v="Wholesale"/>
    <n v="21"/>
    <n v="529.64"/>
    <n v="0"/>
    <n v="18"/>
    <s v="Completed"/>
    <n v="11122.44"/>
    <n v="0"/>
    <n v="2002.0392000000002"/>
    <n v="13124.479200000002"/>
  </r>
  <r>
    <s v="ORD-1358"/>
    <d v="2024-09-04T00:00:00"/>
    <s v="West"/>
    <s v="Rahul Mehta"/>
    <x v="3"/>
    <s v="Dining Table"/>
    <s v="Online"/>
    <n v="6"/>
    <n v="682.52"/>
    <n v="15"/>
    <n v="18"/>
    <s v="Returned"/>
    <n v="4095.12"/>
    <n v="614.26799999999992"/>
    <n v="626.55336"/>
    <n v="4107.4053599999997"/>
  </r>
  <r>
    <s v="ORD-1359"/>
    <d v="2024-07-28T00:00:00"/>
    <s v="South"/>
    <s v="Aditya Kumar"/>
    <x v="0"/>
    <s v="Headphones"/>
    <s v="Retail Store"/>
    <n v="7"/>
    <n v="668.88"/>
    <n v="0"/>
    <n v="18"/>
    <s v="Completed"/>
    <n v="4682.16"/>
    <n v="0"/>
    <n v="842.78880000000004"/>
    <n v="5524.9488000000001"/>
  </r>
  <r>
    <s v="ORD-1360"/>
    <d v="2024-10-08T00:00:00"/>
    <s v="East"/>
    <s v="Vikram Nair"/>
    <x v="1"/>
    <s v="Tennis Racket"/>
    <s v="Wholesale"/>
    <n v="7"/>
    <n v="108.77"/>
    <n v="15"/>
    <n v="18"/>
    <s v="Completed"/>
    <n v="761.39"/>
    <n v="114.2085"/>
    <n v="116.49267"/>
    <n v="763.67417"/>
  </r>
  <r>
    <s v="ORD-1361"/>
    <d v="2024-11-16T00:00:00"/>
    <s v="North"/>
    <s v="Kavya Reddy"/>
    <x v="2"/>
    <s v="Organic Tea"/>
    <s v="Online"/>
    <n v="6"/>
    <n v="596.15"/>
    <n v="20"/>
    <n v="18"/>
    <s v="Pending"/>
    <n v="3576.8999999999996"/>
    <n v="715.38"/>
    <n v="515.07359999999994"/>
    <n v="3376.5935999999992"/>
  </r>
  <r>
    <s v="ORD-1362"/>
    <d v="2024-08-30T00:00:00"/>
    <s v="South"/>
    <s v="Priya Patel"/>
    <x v="1"/>
    <s v="Running Shoes"/>
    <s v="Online"/>
    <n v="11"/>
    <n v="1280"/>
    <n v="0"/>
    <n v="18"/>
    <s v="Completed"/>
    <n v="14080"/>
    <n v="0"/>
    <n v="2534.4"/>
    <n v="16614.400000000001"/>
  </r>
  <r>
    <s v="ORD-1363"/>
    <d v="2024-04-04T00:00:00"/>
    <s v="West"/>
    <s v="Meera Joshi"/>
    <x v="0"/>
    <s v="Tablet"/>
    <s v="Direct Sales"/>
    <n v="6"/>
    <n v="1287.31"/>
    <n v="10"/>
    <n v="18"/>
    <s v="Completed"/>
    <n v="7723.86"/>
    <n v="772.38599999999997"/>
    <n v="1251.26532"/>
    <n v="8202.7393200000006"/>
  </r>
  <r>
    <s v="ORD-1364"/>
    <d v="2024-04-25T00:00:00"/>
    <s v="East"/>
    <s v="Rahul Mehta"/>
    <x v="3"/>
    <s v="Office Chair"/>
    <s v="Direct Sales"/>
    <n v="17"/>
    <n v="885.08"/>
    <n v="5"/>
    <n v="18"/>
    <s v="Completed"/>
    <n v="15046.36"/>
    <n v="752.31799999999998"/>
    <n v="2572.9275600000001"/>
    <n v="16866.969560000001"/>
  </r>
  <r>
    <s v="ORD-1365"/>
    <d v="2024-07-30T00:00:00"/>
    <s v="North"/>
    <s v="Rahul Mehta"/>
    <x v="3"/>
    <s v="Wardrobe"/>
    <s v="Online"/>
    <n v="43"/>
    <n v="694.14"/>
    <n v="15"/>
    <n v="18"/>
    <s v="Completed"/>
    <n v="29848.02"/>
    <n v="4477.2029999999995"/>
    <n v="4566.7470600000006"/>
    <n v="29937.564060000004"/>
  </r>
  <r>
    <s v="ORD-1366"/>
    <d v="2024-10-20T00:00:00"/>
    <s v="North"/>
    <s v="Aditya Kumar"/>
    <x v="1"/>
    <s v="Dumbbells"/>
    <s v="Direct Sales"/>
    <n v="44"/>
    <n v="1735.12"/>
    <n v="10"/>
    <n v="18"/>
    <s v="Returned"/>
    <n v="76345.279999999999"/>
    <n v="7634.5280000000002"/>
    <n v="12367.935359999998"/>
    <n v="81078.687359999996"/>
  </r>
  <r>
    <s v="ORD-1367"/>
    <d v="2024-10-19T00:00:00"/>
    <s v="East"/>
    <s v="Priya Patel"/>
    <x v="4"/>
    <s v="Dress"/>
    <s v="Direct Sales"/>
    <n v="33"/>
    <n v="1146.73"/>
    <n v="15"/>
    <n v="18"/>
    <s v="Completed"/>
    <n v="37842.090000000004"/>
    <n v="5676.3135000000011"/>
    <n v="5789.8397700000005"/>
    <n v="37955.616270000006"/>
  </r>
  <r>
    <s v="ORD-1368"/>
    <d v="2024-01-22T00:00:00"/>
    <s v="North"/>
    <s v="Meera Joshi"/>
    <x v="1"/>
    <s v="Dumbbells"/>
    <s v="Retail Store"/>
    <n v="14"/>
    <n v="1618.84"/>
    <n v="0"/>
    <n v="18"/>
    <s v="Completed"/>
    <n v="22663.759999999998"/>
    <n v="0"/>
    <n v="4079.4767999999999"/>
    <n v="26743.236799999999"/>
  </r>
  <r>
    <s v="ORD-1369"/>
    <d v="2024-02-04T00:00:00"/>
    <s v="West"/>
    <s v="Sneha Iyer"/>
    <x v="2"/>
    <s v="Coffee Beans"/>
    <s v="Retail Store"/>
    <n v="17"/>
    <n v="646.29999999999995"/>
    <n v="20"/>
    <n v="18"/>
    <s v="Returned"/>
    <n v="10987.099999999999"/>
    <n v="2197.4199999999996"/>
    <n v="1582.1423999999997"/>
    <n v="10371.822399999997"/>
  </r>
  <r>
    <s v="ORD-1370"/>
    <d v="2024-12-24T00:00:00"/>
    <s v="West"/>
    <s v="Kavya Reddy"/>
    <x v="0"/>
    <s v="Headphones"/>
    <s v="Wholesale"/>
    <n v="30"/>
    <n v="1835.15"/>
    <n v="0"/>
    <n v="18"/>
    <s v="Returned"/>
    <n v="55054.5"/>
    <n v="0"/>
    <n v="9909.81"/>
    <n v="64964.31"/>
  </r>
  <r>
    <s v="ORD-1371"/>
    <d v="2024-02-21T00:00:00"/>
    <s v="West"/>
    <s v="Priya Patel"/>
    <x v="1"/>
    <s v="Tennis Racket"/>
    <s v="Direct Sales"/>
    <n v="10"/>
    <n v="1137.52"/>
    <n v="15"/>
    <n v="18"/>
    <s v="Completed"/>
    <n v="11375.2"/>
    <n v="1706.28"/>
    <n v="1740.4056"/>
    <n v="11409.3256"/>
  </r>
  <r>
    <s v="ORD-1372"/>
    <d v="2024-10-19T00:00:00"/>
    <s v="North"/>
    <s v="Vikram Nair"/>
    <x v="0"/>
    <s v="Smartwatch"/>
    <s v="Wholesale"/>
    <n v="17"/>
    <n v="772.26"/>
    <n v="10"/>
    <n v="18"/>
    <s v="Pending"/>
    <n v="13128.42"/>
    <n v="1312.8420000000001"/>
    <n v="2126.80404"/>
    <n v="13942.38204"/>
  </r>
  <r>
    <s v="ORD-1373"/>
    <d v="2024-12-21T00:00:00"/>
    <s v="North"/>
    <s v="Rahul Mehta"/>
    <x v="1"/>
    <s v="Running Shoes"/>
    <s v="Wholesale"/>
    <n v="10"/>
    <n v="1240.31"/>
    <n v="20"/>
    <n v="18"/>
    <s v="Pending"/>
    <n v="12403.099999999999"/>
    <n v="2480.62"/>
    <n v="1786.0463999999999"/>
    <n v="11708.526399999999"/>
  </r>
  <r>
    <s v="ORD-1374"/>
    <d v="2024-07-09T00:00:00"/>
    <s v="West"/>
    <s v="Kavya Reddy"/>
    <x v="2"/>
    <s v="Coffee Beans"/>
    <s v="Retail Store"/>
    <n v="48"/>
    <n v="955.68"/>
    <n v="5"/>
    <n v="18"/>
    <s v="Completed"/>
    <n v="45872.639999999999"/>
    <n v="2293.6320000000001"/>
    <n v="7844.2214400000012"/>
    <n v="51423.229440000003"/>
  </r>
  <r>
    <s v="ORD-1375"/>
    <d v="2024-03-09T00:00:00"/>
    <s v="East"/>
    <s v="Vikram Nair"/>
    <x v="0"/>
    <s v="Tablet"/>
    <s v="Wholesale"/>
    <n v="45"/>
    <n v="1372.86"/>
    <n v="0"/>
    <n v="18"/>
    <s v="Pending"/>
    <n v="61778.7"/>
    <n v="0"/>
    <n v="11120.165999999999"/>
    <n v="72898.865999999995"/>
  </r>
  <r>
    <s v="ORD-1376"/>
    <d v="2024-04-18T00:00:00"/>
    <s v="East"/>
    <s v="Vikram Nair"/>
    <x v="3"/>
    <s v="Office Chair"/>
    <s v="Direct Sales"/>
    <n v="42"/>
    <n v="187.68"/>
    <n v="10"/>
    <n v="18"/>
    <s v="Returned"/>
    <n v="7882.56"/>
    <n v="788.25600000000009"/>
    <n v="1276.9747200000002"/>
    <n v="8371.2787200000002"/>
  </r>
  <r>
    <s v="ORD-1377"/>
    <d v="2024-03-10T00:00:00"/>
    <s v="East"/>
    <s v="Arjun Sharma"/>
    <x v="2"/>
    <s v="Energy Bar"/>
    <s v="Retail Store"/>
    <n v="20"/>
    <n v="1422.04"/>
    <n v="10"/>
    <n v="18"/>
    <s v="Completed"/>
    <n v="28440.799999999999"/>
    <n v="2844.08"/>
    <n v="4607.4096"/>
    <n v="30204.1296"/>
  </r>
  <r>
    <s v="ORD-1378"/>
    <d v="2024-01-26T00:00:00"/>
    <s v="North"/>
    <s v="Rahul Mehta"/>
    <x v="1"/>
    <s v="Tennis Racket"/>
    <s v="Retail Store"/>
    <n v="4"/>
    <n v="506.49"/>
    <n v="10"/>
    <n v="18"/>
    <s v="Completed"/>
    <n v="2025.96"/>
    <n v="202.59599999999998"/>
    <n v="328.20552000000004"/>
    <n v="2151.56952"/>
  </r>
  <r>
    <s v="ORD-1379"/>
    <d v="2024-12-14T00:00:00"/>
    <s v="East"/>
    <s v="Kavya Reddy"/>
    <x v="3"/>
    <s v="Dining Table"/>
    <s v="Direct Sales"/>
    <n v="26"/>
    <n v="1274.47"/>
    <n v="0"/>
    <n v="18"/>
    <s v="Returned"/>
    <n v="33136.22"/>
    <n v="0"/>
    <n v="5964.5195999999996"/>
    <n v="39100.739600000001"/>
  </r>
  <r>
    <s v="ORD-1380"/>
    <d v="2024-06-25T00:00:00"/>
    <s v="East"/>
    <s v="Meera Joshi"/>
    <x v="0"/>
    <s v="Smartphone"/>
    <s v="Direct Sales"/>
    <n v="31"/>
    <n v="1177.8900000000001"/>
    <n v="5"/>
    <n v="18"/>
    <s v="Completed"/>
    <n v="36514.590000000004"/>
    <n v="1825.7295000000001"/>
    <n v="6243.9948900000009"/>
    <n v="40932.855390000004"/>
  </r>
  <r>
    <s v="ORD-1381"/>
    <d v="2024-04-19T00:00:00"/>
    <s v="North"/>
    <s v="Vikram Nair"/>
    <x v="4"/>
    <s v="Jacket"/>
    <s v="Online"/>
    <n v="4"/>
    <n v="334.19"/>
    <n v="15"/>
    <n v="18"/>
    <s v="Pending"/>
    <n v="1336.76"/>
    <n v="200.51400000000001"/>
    <n v="204.52428"/>
    <n v="1340.7702800000002"/>
  </r>
  <r>
    <s v="ORD-1382"/>
    <d v="2024-01-05T00:00:00"/>
    <s v="South"/>
    <s v="Vikram Nair"/>
    <x v="4"/>
    <s v="Jeans"/>
    <s v="Direct Sales"/>
    <n v="2"/>
    <n v="1730.61"/>
    <n v="20"/>
    <n v="18"/>
    <s v="Returned"/>
    <n v="3461.22"/>
    <n v="692.24399999999991"/>
    <n v="498.4156799999999"/>
    <n v="3267.3916799999997"/>
  </r>
  <r>
    <s v="ORD-1383"/>
    <d v="2024-12-30T00:00:00"/>
    <s v="South"/>
    <s v="Arjun Sharma"/>
    <x v="2"/>
    <s v="Organic Tea"/>
    <s v="Retail Store"/>
    <n v="39"/>
    <n v="1612.12"/>
    <n v="5"/>
    <n v="18"/>
    <s v="Completed"/>
    <n v="62872.679999999993"/>
    <n v="3143.6339999999996"/>
    <n v="10751.228279999999"/>
    <n v="70480.274279999998"/>
  </r>
  <r>
    <s v="ORD-1384"/>
    <d v="2024-09-23T00:00:00"/>
    <s v="West"/>
    <s v="Kavya Reddy"/>
    <x v="3"/>
    <s v="Office Chair"/>
    <s v="Direct Sales"/>
    <n v="14"/>
    <n v="938.73"/>
    <n v="20"/>
    <n v="18"/>
    <s v="Completed"/>
    <n v="13142.220000000001"/>
    <n v="2628.4440000000004"/>
    <n v="1892.4796800000001"/>
    <n v="12406.255680000002"/>
  </r>
  <r>
    <s v="ORD-1385"/>
    <d v="2024-06-01T00:00:00"/>
    <s v="North"/>
    <s v="Arjun Sharma"/>
    <x v="1"/>
    <s v="Running Shoes"/>
    <s v="Wholesale"/>
    <n v="42"/>
    <n v="1191.6099999999999"/>
    <n v="5"/>
    <n v="18"/>
    <s v="Returned"/>
    <n v="50047.619999999995"/>
    <n v="2502.3809999999999"/>
    <n v="8558.1430199999995"/>
    <n v="56103.38201999999"/>
  </r>
  <r>
    <s v="ORD-1386"/>
    <d v="2024-11-29T00:00:00"/>
    <s v="North"/>
    <s v="Kavya Reddy"/>
    <x v="0"/>
    <s v="Headphones"/>
    <s v="Wholesale"/>
    <n v="18"/>
    <n v="529.67999999999995"/>
    <n v="20"/>
    <n v="18"/>
    <s v="Completed"/>
    <n v="9534.24"/>
    <n v="1906.848"/>
    <n v="1372.9305599999998"/>
    <n v="9000.3225600000005"/>
  </r>
  <r>
    <s v="ORD-1387"/>
    <d v="2024-03-12T00:00:00"/>
    <s v="South"/>
    <s v="Sneha Iyer"/>
    <x v="3"/>
    <s v="Dining Table"/>
    <s v="Online"/>
    <n v="26"/>
    <n v="1324.46"/>
    <n v="20"/>
    <n v="18"/>
    <s v="Returned"/>
    <n v="34435.96"/>
    <n v="6887.1919999999991"/>
    <n v="4958.7782400000006"/>
    <n v="32507.54624"/>
  </r>
  <r>
    <s v="ORD-1388"/>
    <d v="2024-12-28T00:00:00"/>
    <s v="East"/>
    <s v="Vikram Nair"/>
    <x v="0"/>
    <s v="Headphones"/>
    <s v="Direct Sales"/>
    <n v="25"/>
    <n v="1476.1"/>
    <n v="15"/>
    <n v="18"/>
    <s v="Pending"/>
    <n v="36902.5"/>
    <n v="5535.375"/>
    <n v="5646.0825000000004"/>
    <n v="37013.207500000004"/>
  </r>
  <r>
    <s v="ORD-1389"/>
    <d v="2024-12-02T00:00:00"/>
    <s v="East"/>
    <s v="Sneha Iyer"/>
    <x v="1"/>
    <s v="Dumbbells"/>
    <s v="Direct Sales"/>
    <n v="33"/>
    <n v="607.39"/>
    <n v="0"/>
    <n v="18"/>
    <s v="Completed"/>
    <n v="20043.87"/>
    <n v="0"/>
    <n v="3607.8965999999996"/>
    <n v="23651.766599999999"/>
  </r>
  <r>
    <s v="ORD-1390"/>
    <d v="2024-04-03T00:00:00"/>
    <s v="East"/>
    <s v="Priya Patel"/>
    <x v="1"/>
    <s v="Dumbbells"/>
    <s v="Direct Sales"/>
    <n v="48"/>
    <n v="524.72"/>
    <n v="15"/>
    <n v="18"/>
    <s v="Completed"/>
    <n v="25186.560000000001"/>
    <n v="3777.9840000000004"/>
    <n v="3853.5436800000002"/>
    <n v="25262.11968"/>
  </r>
  <r>
    <s v="ORD-1391"/>
    <d v="2024-07-09T00:00:00"/>
    <s v="South"/>
    <s v="Kavya Reddy"/>
    <x v="3"/>
    <s v="Sofa"/>
    <s v="Retail Store"/>
    <n v="27"/>
    <n v="1578.3"/>
    <n v="5"/>
    <n v="18"/>
    <s v="Completed"/>
    <n v="42614.1"/>
    <n v="2130.7049999999999"/>
    <n v="7287.0110999999997"/>
    <n v="47770.406099999993"/>
  </r>
  <r>
    <s v="ORD-1392"/>
    <d v="2024-10-24T00:00:00"/>
    <s v="East"/>
    <s v="Meera Joshi"/>
    <x v="3"/>
    <s v="Wardrobe"/>
    <s v="Online"/>
    <n v="4"/>
    <n v="1734.12"/>
    <n v="15"/>
    <n v="18"/>
    <s v="Pending"/>
    <n v="6936.48"/>
    <n v="1040.472"/>
    <n v="1061.28144"/>
    <n v="6957.2894399999996"/>
  </r>
  <r>
    <s v="ORD-1393"/>
    <d v="2024-03-18T00:00:00"/>
    <s v="West"/>
    <s v="Sneha Iyer"/>
    <x v="1"/>
    <s v="Yoga Mat"/>
    <s v="Online"/>
    <n v="34"/>
    <n v="603.73"/>
    <n v="0"/>
    <n v="18"/>
    <s v="Pending"/>
    <n v="20526.82"/>
    <n v="0"/>
    <n v="3694.8276000000001"/>
    <n v="24221.6476"/>
  </r>
  <r>
    <s v="ORD-1394"/>
    <d v="2024-02-11T00:00:00"/>
    <s v="East"/>
    <s v="Aditya Kumar"/>
    <x v="4"/>
    <s v="Jeans"/>
    <s v="Direct Sales"/>
    <n v="21"/>
    <n v="1726.16"/>
    <n v="0"/>
    <n v="18"/>
    <s v="Completed"/>
    <n v="36249.360000000001"/>
    <n v="0"/>
    <n v="6524.8847999999998"/>
    <n v="42774.2448"/>
  </r>
  <r>
    <s v="ORD-1395"/>
    <d v="2024-10-22T00:00:00"/>
    <s v="South"/>
    <s v="Kavya Reddy"/>
    <x v="2"/>
    <s v="Protein Shake"/>
    <s v="Online"/>
    <n v="29"/>
    <n v="554.32000000000005"/>
    <n v="0"/>
    <n v="18"/>
    <s v="Completed"/>
    <n v="16075.28"/>
    <n v="0"/>
    <n v="2893.5504000000005"/>
    <n v="18968.830400000003"/>
  </r>
  <r>
    <s v="ORD-1396"/>
    <d v="2024-07-15T00:00:00"/>
    <s v="North"/>
    <s v="Rahul Mehta"/>
    <x v="4"/>
    <s v="Dress"/>
    <s v="Direct Sales"/>
    <n v="26"/>
    <n v="863.76"/>
    <n v="10"/>
    <n v="18"/>
    <s v="Pending"/>
    <n v="22457.759999999998"/>
    <n v="2245.7759999999998"/>
    <n v="3638.1571199999994"/>
    <n v="23850.141119999997"/>
  </r>
  <r>
    <s v="ORD-1397"/>
    <d v="2024-01-10T00:00:00"/>
    <s v="South"/>
    <s v="Kavya Reddy"/>
    <x v="0"/>
    <s v="Laptop"/>
    <s v="Online"/>
    <n v="49"/>
    <n v="1668.13"/>
    <n v="0"/>
    <n v="18"/>
    <s v="Completed"/>
    <n v="81738.37000000001"/>
    <n v="0"/>
    <n v="14712.906600000002"/>
    <n v="96451.276600000012"/>
  </r>
  <r>
    <s v="ORD-1398"/>
    <d v="2024-06-05T00:00:00"/>
    <s v="South"/>
    <s v="Kavya Reddy"/>
    <x v="0"/>
    <s v="Smartphone"/>
    <s v="Wholesale"/>
    <n v="7"/>
    <n v="773.27"/>
    <n v="15"/>
    <n v="18"/>
    <s v="Completed"/>
    <n v="5412.8899999999994"/>
    <n v="811.93349999999987"/>
    <n v="828.17216999999994"/>
    <n v="5429.1286699999991"/>
  </r>
  <r>
    <s v="ORD-1399"/>
    <d v="2024-06-21T00:00:00"/>
    <s v="North"/>
    <s v="Vikram Nair"/>
    <x v="4"/>
    <s v="T-Shirt"/>
    <s v="Wholesale"/>
    <n v="47"/>
    <n v="1045.3699999999999"/>
    <n v="15"/>
    <n v="18"/>
    <s v="Pending"/>
    <n v="49132.389999999992"/>
    <n v="7369.8584999999985"/>
    <n v="7517.2556699999996"/>
    <n v="49279.787169999996"/>
  </r>
  <r>
    <s v="ORD-1400"/>
    <d v="2024-01-10T00:00:00"/>
    <s v="East"/>
    <s v="Meera Joshi"/>
    <x v="2"/>
    <s v="Organic Tea"/>
    <s v="Wholesale"/>
    <n v="11"/>
    <n v="1896.69"/>
    <n v="10"/>
    <n v="18"/>
    <s v="Completed"/>
    <n v="20863.59"/>
    <n v="2086.3589999999999"/>
    <n v="3379.9015799999997"/>
    <n v="22157.132579999998"/>
  </r>
  <r>
    <s v="ORD-1401"/>
    <d v="2024-12-30T00:00:00"/>
    <s v="South"/>
    <s v="Sneha Iyer"/>
    <x v="4"/>
    <s v="Jeans"/>
    <s v="Online"/>
    <n v="33"/>
    <n v="346.28"/>
    <n v="5"/>
    <n v="18"/>
    <s v="Returned"/>
    <n v="11427.24"/>
    <n v="571.36199999999997"/>
    <n v="1954.0580400000001"/>
    <n v="12809.936040000001"/>
  </r>
  <r>
    <s v="ORD-1402"/>
    <d v="2024-12-19T00:00:00"/>
    <s v="East"/>
    <s v="Arjun Sharma"/>
    <x v="0"/>
    <s v="Headphones"/>
    <s v="Online"/>
    <n v="42"/>
    <n v="1673.88"/>
    <n v="0"/>
    <n v="18"/>
    <s v="Completed"/>
    <n v="70302.960000000006"/>
    <n v="0"/>
    <n v="12654.532800000001"/>
    <n v="82957.492800000007"/>
  </r>
  <r>
    <s v="ORD-1403"/>
    <d v="2024-04-15T00:00:00"/>
    <s v="West"/>
    <s v="Aditya Kumar"/>
    <x v="0"/>
    <s v="Headphones"/>
    <s v="Online"/>
    <n v="17"/>
    <n v="954.05"/>
    <n v="0"/>
    <n v="18"/>
    <s v="Returned"/>
    <n v="16218.849999999999"/>
    <n v="0"/>
    <n v="2919.393"/>
    <n v="19138.242999999999"/>
  </r>
  <r>
    <s v="ORD-1404"/>
    <d v="2024-02-23T00:00:00"/>
    <s v="West"/>
    <s v="Priya Patel"/>
    <x v="0"/>
    <s v="Tablet"/>
    <s v="Wholesale"/>
    <n v="39"/>
    <n v="1404.45"/>
    <n v="10"/>
    <n v="18"/>
    <s v="Returned"/>
    <n v="54773.55"/>
    <n v="5477.3549999999996"/>
    <n v="8873.3151000000016"/>
    <n v="58169.510100000007"/>
  </r>
  <r>
    <s v="ORD-1405"/>
    <d v="2024-05-14T00:00:00"/>
    <s v="North"/>
    <s v="Vikram Nair"/>
    <x v="1"/>
    <s v="Tennis Racket"/>
    <s v="Online"/>
    <n v="32"/>
    <n v="405.31"/>
    <n v="0"/>
    <n v="18"/>
    <s v="Completed"/>
    <n v="12969.92"/>
    <n v="0"/>
    <n v="2334.5855999999999"/>
    <n v="15304.5056"/>
  </r>
  <r>
    <s v="ORD-1406"/>
    <d v="2024-12-18T00:00:00"/>
    <s v="East"/>
    <s v="Aditya Kumar"/>
    <x v="1"/>
    <s v="Dumbbells"/>
    <s v="Wholesale"/>
    <n v="3"/>
    <n v="1100.8"/>
    <n v="0"/>
    <n v="18"/>
    <s v="Completed"/>
    <n v="3302.3999999999996"/>
    <n v="0"/>
    <n v="594.43200000000002"/>
    <n v="3896.8319999999994"/>
  </r>
  <r>
    <s v="ORD-1407"/>
    <d v="2024-09-09T00:00:00"/>
    <s v="South"/>
    <s v="Arjun Sharma"/>
    <x v="2"/>
    <s v="Protein Shake"/>
    <s v="Online"/>
    <n v="8"/>
    <n v="1672.11"/>
    <n v="20"/>
    <n v="18"/>
    <s v="Completed"/>
    <n v="13376.88"/>
    <n v="2675.3759999999997"/>
    <n v="1926.2707199999998"/>
    <n v="12627.774719999999"/>
  </r>
  <r>
    <s v="ORD-1408"/>
    <d v="2024-05-15T00:00:00"/>
    <s v="North"/>
    <s v="Priya Patel"/>
    <x v="4"/>
    <s v="T-Shirt"/>
    <s v="Wholesale"/>
    <n v="30"/>
    <n v="1977.45"/>
    <n v="5"/>
    <n v="18"/>
    <s v="Completed"/>
    <n v="59323.5"/>
    <n v="2966.1750000000002"/>
    <n v="10144.318499999999"/>
    <n v="66501.643499999991"/>
  </r>
  <r>
    <s v="ORD-1409"/>
    <d v="2024-08-06T00:00:00"/>
    <s v="North"/>
    <s v="Rahul Mehta"/>
    <x v="2"/>
    <s v="Coffee Beans"/>
    <s v="Online"/>
    <n v="24"/>
    <n v="1605.18"/>
    <n v="5"/>
    <n v="18"/>
    <s v="Completed"/>
    <n v="38524.32"/>
    <n v="1926.2160000000001"/>
    <n v="6587.6587199999994"/>
    <n v="43185.762719999999"/>
  </r>
  <r>
    <s v="ORD-1410"/>
    <d v="2024-11-14T00:00:00"/>
    <s v="North"/>
    <s v="Arjun Sharma"/>
    <x v="0"/>
    <s v="Laptop"/>
    <s v="Retail Store"/>
    <n v="22"/>
    <n v="721.48"/>
    <n v="10"/>
    <n v="18"/>
    <s v="Completed"/>
    <n v="15872.560000000001"/>
    <n v="1587.2560000000001"/>
    <n v="2571.3547200000003"/>
    <n v="16856.658720000003"/>
  </r>
  <r>
    <s v="ORD-1411"/>
    <d v="2024-05-19T00:00:00"/>
    <s v="East"/>
    <s v="Kavya Reddy"/>
    <x v="3"/>
    <s v="Sofa"/>
    <s v="Retail Store"/>
    <n v="26"/>
    <n v="806.5"/>
    <n v="10"/>
    <n v="18"/>
    <s v="Completed"/>
    <n v="20969"/>
    <n v="2096.9"/>
    <n v="3396.9780000000001"/>
    <n v="22269.077999999998"/>
  </r>
  <r>
    <s v="ORD-1412"/>
    <d v="2024-02-23T00:00:00"/>
    <s v="West"/>
    <s v="Rahul Mehta"/>
    <x v="2"/>
    <s v="Energy Bar"/>
    <s v="Online"/>
    <n v="45"/>
    <n v="1455.56"/>
    <n v="0"/>
    <n v="18"/>
    <s v="Completed"/>
    <n v="65500.2"/>
    <n v="0"/>
    <n v="11790.035999999998"/>
    <n v="77290.23599999999"/>
  </r>
  <r>
    <s v="ORD-1413"/>
    <d v="2024-01-15T00:00:00"/>
    <s v="West"/>
    <s v="Meera Joshi"/>
    <x v="2"/>
    <s v="Juice Pack"/>
    <s v="Retail Store"/>
    <n v="25"/>
    <n v="1560.54"/>
    <n v="15"/>
    <n v="18"/>
    <s v="Returned"/>
    <n v="39013.5"/>
    <n v="5852.0249999999996"/>
    <n v="5969.0654999999997"/>
    <n v="39130.540499999996"/>
  </r>
  <r>
    <s v="ORD-1414"/>
    <d v="2024-06-09T00:00:00"/>
    <s v="West"/>
    <s v="Priya Patel"/>
    <x v="4"/>
    <s v="Dress"/>
    <s v="Direct Sales"/>
    <n v="3"/>
    <n v="136.04"/>
    <n v="20"/>
    <n v="18"/>
    <s v="Pending"/>
    <n v="408.12"/>
    <n v="81.623999999999995"/>
    <n v="58.769280000000002"/>
    <n v="385.26527999999996"/>
  </r>
  <r>
    <s v="ORD-1415"/>
    <d v="2024-06-26T00:00:00"/>
    <s v="South"/>
    <s v="Kavya Reddy"/>
    <x v="0"/>
    <s v="Smartwatch"/>
    <s v="Online"/>
    <n v="43"/>
    <n v="1456.04"/>
    <n v="10"/>
    <n v="18"/>
    <s v="Pending"/>
    <n v="62609.72"/>
    <n v="6260.9719999999998"/>
    <n v="10142.77464"/>
    <n v="66491.522639999996"/>
  </r>
  <r>
    <s v="ORD-1416"/>
    <d v="2024-02-08T00:00:00"/>
    <s v="North"/>
    <s v="Arjun Sharma"/>
    <x v="2"/>
    <s v="Organic Tea"/>
    <s v="Retail Store"/>
    <n v="31"/>
    <n v="1705.22"/>
    <n v="0"/>
    <n v="18"/>
    <s v="Returned"/>
    <n v="52861.82"/>
    <n v="0"/>
    <n v="9515.1275999999998"/>
    <n v="62376.9476"/>
  </r>
  <r>
    <s v="ORD-1417"/>
    <d v="2024-07-12T00:00:00"/>
    <s v="South"/>
    <s v="Kavya Reddy"/>
    <x v="2"/>
    <s v="Protein Shake"/>
    <s v="Wholesale"/>
    <n v="33"/>
    <n v="453.19"/>
    <n v="20"/>
    <n v="18"/>
    <s v="Completed"/>
    <n v="14955.27"/>
    <n v="2991.0540000000001"/>
    <n v="2153.55888"/>
    <n v="14117.774880000001"/>
  </r>
  <r>
    <s v="ORD-1418"/>
    <d v="2024-08-16T00:00:00"/>
    <s v="North"/>
    <s v="Meera Joshi"/>
    <x v="2"/>
    <s v="Organic Tea"/>
    <s v="Direct Sales"/>
    <n v="29"/>
    <n v="185.16"/>
    <n v="10"/>
    <n v="18"/>
    <s v="Returned"/>
    <n v="5369.64"/>
    <n v="536.96400000000006"/>
    <n v="869.88168000000007"/>
    <n v="5702.5576800000008"/>
  </r>
  <r>
    <s v="ORD-1419"/>
    <d v="2024-01-01T00:00:00"/>
    <s v="West"/>
    <s v="Arjun Sharma"/>
    <x v="3"/>
    <s v="Sofa"/>
    <s v="Online"/>
    <n v="27"/>
    <n v="81.31"/>
    <n v="15"/>
    <n v="18"/>
    <s v="Pending"/>
    <n v="2195.37"/>
    <n v="329.30549999999994"/>
    <n v="335.89161000000001"/>
    <n v="2201.9561100000001"/>
  </r>
  <r>
    <s v="ORD-1420"/>
    <d v="2024-08-20T00:00:00"/>
    <s v="East"/>
    <s v="Sneha Iyer"/>
    <x v="0"/>
    <s v="Smartwatch"/>
    <s v="Direct Sales"/>
    <n v="24"/>
    <n v="1652.37"/>
    <n v="0"/>
    <n v="18"/>
    <s v="Completed"/>
    <n v="39656.879999999997"/>
    <n v="0"/>
    <n v="7138.2383999999993"/>
    <n v="46795.118399999999"/>
  </r>
  <r>
    <s v="ORD-1421"/>
    <d v="2024-01-02T00:00:00"/>
    <s v="West"/>
    <s v="Kavya Reddy"/>
    <x v="3"/>
    <s v="Wardrobe"/>
    <s v="Direct Sales"/>
    <n v="7"/>
    <n v="1521.05"/>
    <n v="0"/>
    <n v="18"/>
    <s v="Completed"/>
    <n v="10647.35"/>
    <n v="0"/>
    <n v="1916.5230000000001"/>
    <n v="12563.873"/>
  </r>
  <r>
    <s v="ORD-1422"/>
    <d v="2024-07-28T00:00:00"/>
    <s v="East"/>
    <s v="Kavya Reddy"/>
    <x v="3"/>
    <s v="Bookshelf"/>
    <s v="Online"/>
    <n v="11"/>
    <n v="989.92"/>
    <n v="20"/>
    <n v="18"/>
    <s v="Completed"/>
    <n v="10889.119999999999"/>
    <n v="2177.8239999999996"/>
    <n v="1568.0332799999999"/>
    <n v="10279.329279999998"/>
  </r>
  <r>
    <s v="ORD-1423"/>
    <d v="2024-06-22T00:00:00"/>
    <s v="South"/>
    <s v="Sneha Iyer"/>
    <x v="0"/>
    <s v="Tablet"/>
    <s v="Online"/>
    <n v="14"/>
    <n v="919.52"/>
    <n v="0"/>
    <n v="18"/>
    <s v="Pending"/>
    <n v="12873.279999999999"/>
    <n v="0"/>
    <n v="2317.1904"/>
    <n v="15190.470399999998"/>
  </r>
  <r>
    <s v="ORD-1424"/>
    <d v="2024-03-09T00:00:00"/>
    <s v="North"/>
    <s v="Priya Patel"/>
    <x v="0"/>
    <s v="Headphones"/>
    <s v="Direct Sales"/>
    <n v="43"/>
    <n v="1182.74"/>
    <n v="15"/>
    <n v="18"/>
    <s v="Pending"/>
    <n v="50857.82"/>
    <n v="7628.6730000000007"/>
    <n v="7781.2464599999994"/>
    <n v="51010.393459999999"/>
  </r>
  <r>
    <s v="ORD-1425"/>
    <d v="2024-12-20T00:00:00"/>
    <s v="North"/>
    <s v="Aditya Kumar"/>
    <x v="2"/>
    <s v="Coffee Beans"/>
    <s v="Direct Sales"/>
    <n v="50"/>
    <n v="1843.11"/>
    <n v="0"/>
    <n v="18"/>
    <s v="Returned"/>
    <n v="92155.5"/>
    <n v="0"/>
    <n v="16587.990000000002"/>
    <n v="108743.49"/>
  </r>
  <r>
    <s v="ORD-1426"/>
    <d v="2024-07-15T00:00:00"/>
    <s v="South"/>
    <s v="Priya Patel"/>
    <x v="1"/>
    <s v="Dumbbells"/>
    <s v="Direct Sales"/>
    <n v="39"/>
    <n v="1766.56"/>
    <n v="15"/>
    <n v="18"/>
    <s v="Returned"/>
    <n v="68895.839999999997"/>
    <n v="10334.376"/>
    <n v="10541.06352"/>
    <n v="69102.527519999989"/>
  </r>
  <r>
    <s v="ORD-1427"/>
    <d v="2024-03-11T00:00:00"/>
    <s v="South"/>
    <s v="Vikram Nair"/>
    <x v="2"/>
    <s v="Juice Pack"/>
    <s v="Direct Sales"/>
    <n v="19"/>
    <n v="911.16"/>
    <n v="0"/>
    <n v="18"/>
    <s v="Completed"/>
    <n v="17312.04"/>
    <n v="0"/>
    <n v="3116.1672000000003"/>
    <n v="20428.207200000001"/>
  </r>
  <r>
    <s v="ORD-1428"/>
    <d v="2024-12-17T00:00:00"/>
    <s v="East"/>
    <s v="Kavya Reddy"/>
    <x v="2"/>
    <s v="Juice Pack"/>
    <s v="Retail Store"/>
    <n v="14"/>
    <n v="1252.0899999999999"/>
    <n v="5"/>
    <n v="18"/>
    <s v="Completed"/>
    <n v="17529.259999999998"/>
    <n v="876.46299999999985"/>
    <n v="2997.5034599999994"/>
    <n v="19650.300459999999"/>
  </r>
  <r>
    <s v="ORD-1429"/>
    <d v="2024-12-07T00:00:00"/>
    <s v="South"/>
    <s v="Kavya Reddy"/>
    <x v="3"/>
    <s v="Dining Table"/>
    <s v="Online"/>
    <n v="36"/>
    <n v="965.94"/>
    <n v="15"/>
    <n v="18"/>
    <s v="Completed"/>
    <n v="34773.840000000004"/>
    <n v="5216.076"/>
    <n v="5320.3975200000014"/>
    <n v="34878.161520000001"/>
  </r>
  <r>
    <s v="ORD-1430"/>
    <d v="2024-01-28T00:00:00"/>
    <s v="East"/>
    <s v="Aditya Kumar"/>
    <x v="2"/>
    <s v="Juice Pack"/>
    <s v="Online"/>
    <n v="7"/>
    <n v="60.29"/>
    <n v="0"/>
    <n v="18"/>
    <s v="Returned"/>
    <n v="422.03"/>
    <n v="0"/>
    <n v="75.965399999999988"/>
    <n v="497.99539999999996"/>
  </r>
  <r>
    <s v="ORD-1431"/>
    <d v="2024-05-31T00:00:00"/>
    <s v="East"/>
    <s v="Rahul Mehta"/>
    <x v="0"/>
    <s v="Smartphone"/>
    <s v="Wholesale"/>
    <n v="10"/>
    <n v="1680.37"/>
    <n v="20"/>
    <n v="18"/>
    <s v="Completed"/>
    <n v="16803.699999999997"/>
    <n v="3360.7399999999993"/>
    <n v="2419.7327999999993"/>
    <n v="15862.692799999997"/>
  </r>
  <r>
    <s v="ORD-1432"/>
    <d v="2024-10-14T00:00:00"/>
    <s v="North"/>
    <s v="Kavya Reddy"/>
    <x v="4"/>
    <s v="Sneakers"/>
    <s v="Direct Sales"/>
    <n v="40"/>
    <n v="1737.39"/>
    <n v="20"/>
    <n v="18"/>
    <s v="Completed"/>
    <n v="69495.600000000006"/>
    <n v="13899.12"/>
    <n v="10007.366400000001"/>
    <n v="65603.846400000009"/>
  </r>
  <r>
    <s v="ORD-1433"/>
    <d v="2024-06-09T00:00:00"/>
    <s v="West"/>
    <s v="Sneha Iyer"/>
    <x v="4"/>
    <s v="Sneakers"/>
    <s v="Wholesale"/>
    <n v="25"/>
    <n v="781.23"/>
    <n v="20"/>
    <n v="18"/>
    <s v="Completed"/>
    <n v="19530.75"/>
    <n v="3906.15"/>
    <n v="2812.4279999999999"/>
    <n v="18437.027999999998"/>
  </r>
  <r>
    <s v="ORD-1434"/>
    <d v="2024-04-25T00:00:00"/>
    <s v="North"/>
    <s v="Vikram Nair"/>
    <x v="1"/>
    <s v="Yoga Mat"/>
    <s v="Retail Store"/>
    <n v="50"/>
    <n v="1722.29"/>
    <n v="10"/>
    <n v="18"/>
    <s v="Returned"/>
    <n v="86114.5"/>
    <n v="8611.4500000000007"/>
    <n v="13950.549000000001"/>
    <n v="91453.599000000002"/>
  </r>
  <r>
    <s v="ORD-1435"/>
    <d v="2024-04-05T00:00:00"/>
    <s v="South"/>
    <s v="Sneha Iyer"/>
    <x v="3"/>
    <s v="Wardrobe"/>
    <s v="Wholesale"/>
    <n v="12"/>
    <n v="1967.07"/>
    <n v="0"/>
    <n v="18"/>
    <s v="Pending"/>
    <n v="23604.84"/>
    <n v="0"/>
    <n v="4248.8711999999996"/>
    <n v="27853.711199999998"/>
  </r>
  <r>
    <s v="ORD-1436"/>
    <d v="2024-03-23T00:00:00"/>
    <s v="North"/>
    <s v="Aditya Kumar"/>
    <x v="4"/>
    <s v="Sneakers"/>
    <s v="Online"/>
    <n v="18"/>
    <n v="1117.6300000000001"/>
    <n v="0"/>
    <n v="18"/>
    <s v="Pending"/>
    <n v="20117.340000000004"/>
    <n v="0"/>
    <n v="3621.1212000000005"/>
    <n v="23738.461200000005"/>
  </r>
  <r>
    <s v="ORD-1437"/>
    <d v="2024-11-01T00:00:00"/>
    <s v="North"/>
    <s v="Kavya Reddy"/>
    <x v="1"/>
    <s v="Cycling Helmet"/>
    <s v="Direct Sales"/>
    <n v="3"/>
    <n v="315.87"/>
    <n v="5"/>
    <n v="18"/>
    <s v="Completed"/>
    <n v="947.61"/>
    <n v="47.380500000000005"/>
    <n v="162.04131000000001"/>
    <n v="1062.27081"/>
  </r>
  <r>
    <s v="ORD-1438"/>
    <d v="2024-04-04T00:00:00"/>
    <s v="East"/>
    <s v="Meera Joshi"/>
    <x v="0"/>
    <s v="Smartwatch"/>
    <s v="Wholesale"/>
    <n v="46"/>
    <n v="642.54"/>
    <n v="0"/>
    <n v="18"/>
    <s v="Completed"/>
    <n v="29556.839999999997"/>
    <n v="0"/>
    <n v="5320.2311999999984"/>
    <n v="34877.071199999991"/>
  </r>
  <r>
    <s v="ORD-1439"/>
    <d v="2024-12-05T00:00:00"/>
    <s v="South"/>
    <s v="Aditya Kumar"/>
    <x v="1"/>
    <s v="Yoga Mat"/>
    <s v="Direct Sales"/>
    <n v="23"/>
    <n v="450.18"/>
    <n v="0"/>
    <n v="18"/>
    <s v="Completed"/>
    <n v="10354.14"/>
    <n v="0"/>
    <n v="1863.7451999999998"/>
    <n v="12217.885199999999"/>
  </r>
  <r>
    <s v="ORD-1440"/>
    <d v="2024-11-28T00:00:00"/>
    <s v="East"/>
    <s v="Vikram Nair"/>
    <x v="3"/>
    <s v="Bookshelf"/>
    <s v="Retail Store"/>
    <n v="34"/>
    <n v="954.97"/>
    <n v="15"/>
    <n v="18"/>
    <s v="Returned"/>
    <n v="32468.98"/>
    <n v="4870.3469999999998"/>
    <n v="4967.7539400000005"/>
    <n v="32566.386940000004"/>
  </r>
  <r>
    <s v="ORD-1441"/>
    <d v="2024-12-15T00:00:00"/>
    <s v="East"/>
    <s v="Meera Joshi"/>
    <x v="0"/>
    <s v="Laptop"/>
    <s v="Retail Store"/>
    <n v="40"/>
    <n v="495.22"/>
    <n v="0"/>
    <n v="18"/>
    <s v="Returned"/>
    <n v="19808.800000000003"/>
    <n v="0"/>
    <n v="3565.5840000000003"/>
    <n v="23374.384000000002"/>
  </r>
  <r>
    <s v="ORD-1442"/>
    <d v="2024-07-10T00:00:00"/>
    <s v="North"/>
    <s v="Aditya Kumar"/>
    <x v="3"/>
    <s v="Office Chair"/>
    <s v="Wholesale"/>
    <n v="47"/>
    <n v="572.83000000000004"/>
    <n v="15"/>
    <n v="18"/>
    <s v="Returned"/>
    <n v="26923.010000000002"/>
    <n v="4038.4515000000001"/>
    <n v="4119.2205300000005"/>
    <n v="27003.779030000005"/>
  </r>
  <r>
    <s v="ORD-1443"/>
    <d v="2024-02-12T00:00:00"/>
    <s v="West"/>
    <s v="Meera Joshi"/>
    <x v="1"/>
    <s v="Tennis Racket"/>
    <s v="Online"/>
    <n v="42"/>
    <n v="393.1"/>
    <n v="15"/>
    <n v="18"/>
    <s v="Completed"/>
    <n v="16510.2"/>
    <n v="2476.5300000000002"/>
    <n v="2526.0605999999998"/>
    <n v="16559.730599999999"/>
  </r>
  <r>
    <s v="ORD-1444"/>
    <d v="2024-04-15T00:00:00"/>
    <s v="North"/>
    <s v="Priya Patel"/>
    <x v="0"/>
    <s v="Smartphone"/>
    <s v="Retail Store"/>
    <n v="44"/>
    <n v="854.18"/>
    <n v="0"/>
    <n v="18"/>
    <s v="Completed"/>
    <n v="37583.919999999998"/>
    <n v="0"/>
    <n v="6765.105599999999"/>
    <n v="44349.025599999994"/>
  </r>
  <r>
    <s v="ORD-1445"/>
    <d v="2024-02-07T00:00:00"/>
    <s v="North"/>
    <s v="Rahul Mehta"/>
    <x v="1"/>
    <s v="Running Shoes"/>
    <s v="Online"/>
    <n v="46"/>
    <n v="670.11"/>
    <n v="0"/>
    <n v="18"/>
    <s v="Pending"/>
    <n v="30825.06"/>
    <n v="0"/>
    <n v="5548.5108000000009"/>
    <n v="36373.570800000001"/>
  </r>
  <r>
    <s v="ORD-1446"/>
    <d v="2024-07-26T00:00:00"/>
    <s v="East"/>
    <s v="Priya Patel"/>
    <x v="0"/>
    <s v="Smartphone"/>
    <s v="Retail Store"/>
    <n v="27"/>
    <n v="782.18"/>
    <n v="20"/>
    <n v="18"/>
    <s v="Completed"/>
    <n v="21118.859999999997"/>
    <n v="4223.7719999999999"/>
    <n v="3041.115839999999"/>
    <n v="19936.203839999995"/>
  </r>
  <r>
    <s v="ORD-1447"/>
    <d v="2024-02-02T00:00:00"/>
    <s v="North"/>
    <s v="Aditya Kumar"/>
    <x v="2"/>
    <s v="Protein Shake"/>
    <s v="Online"/>
    <n v="1"/>
    <n v="1286.43"/>
    <n v="15"/>
    <n v="18"/>
    <s v="Returned"/>
    <n v="1286.43"/>
    <n v="192.96450000000002"/>
    <n v="196.82379"/>
    <n v="1290.2892899999999"/>
  </r>
  <r>
    <s v="ORD-1448"/>
    <d v="2024-05-24T00:00:00"/>
    <s v="North"/>
    <s v="Kavya Reddy"/>
    <x v="1"/>
    <s v="Yoga Mat"/>
    <s v="Online"/>
    <n v="44"/>
    <n v="609.69000000000005"/>
    <n v="0"/>
    <n v="18"/>
    <s v="Completed"/>
    <n v="26826.36"/>
    <n v="0"/>
    <n v="4828.7447999999995"/>
    <n v="31655.104800000001"/>
  </r>
  <r>
    <s v="ORD-1449"/>
    <d v="2024-07-19T00:00:00"/>
    <s v="West"/>
    <s v="Arjun Sharma"/>
    <x v="2"/>
    <s v="Energy Bar"/>
    <s v="Direct Sales"/>
    <n v="35"/>
    <n v="447.53"/>
    <n v="20"/>
    <n v="18"/>
    <s v="Completed"/>
    <n v="15663.55"/>
    <n v="3132.71"/>
    <n v="2255.5511999999999"/>
    <n v="14786.3912"/>
  </r>
  <r>
    <s v="ORD-1450"/>
    <d v="2024-03-04T00:00:00"/>
    <s v="South"/>
    <s v="Vikram Nair"/>
    <x v="1"/>
    <s v="Cycling Helmet"/>
    <s v="Wholesale"/>
    <n v="36"/>
    <n v="1750.79"/>
    <n v="0"/>
    <n v="18"/>
    <s v="Completed"/>
    <n v="63028.44"/>
    <n v="0"/>
    <n v="11345.119199999999"/>
    <n v="74373.559200000003"/>
  </r>
  <r>
    <s v="ORD-1451"/>
    <d v="2024-06-25T00:00:00"/>
    <s v="West"/>
    <s v="Priya Patel"/>
    <x v="0"/>
    <s v="Laptop"/>
    <s v="Wholesale"/>
    <n v="48"/>
    <n v="1485.45"/>
    <n v="20"/>
    <n v="18"/>
    <s v="Completed"/>
    <n v="71301.600000000006"/>
    <n v="14260.32"/>
    <n v="10267.430400000001"/>
    <n v="67308.710400000011"/>
  </r>
  <r>
    <s v="ORD-1452"/>
    <d v="2024-02-28T00:00:00"/>
    <s v="South"/>
    <s v="Rahul Mehta"/>
    <x v="4"/>
    <s v="Dress"/>
    <s v="Retail Store"/>
    <n v="40"/>
    <n v="1671.15"/>
    <n v="0"/>
    <n v="18"/>
    <s v="Completed"/>
    <n v="66846"/>
    <n v="0"/>
    <n v="12032.28"/>
    <n v="78878.28"/>
  </r>
  <r>
    <s v="ORD-1453"/>
    <d v="2024-04-11T00:00:00"/>
    <s v="North"/>
    <s v="Meera Joshi"/>
    <x v="4"/>
    <s v="Sneakers"/>
    <s v="Online"/>
    <n v="43"/>
    <n v="144.05000000000001"/>
    <n v="0"/>
    <n v="18"/>
    <s v="Completed"/>
    <n v="6194.1500000000005"/>
    <n v="0"/>
    <n v="1114.9470000000001"/>
    <n v="7309.0970000000007"/>
  </r>
  <r>
    <s v="ORD-1454"/>
    <d v="2024-04-09T00:00:00"/>
    <s v="East"/>
    <s v="Kavya Reddy"/>
    <x v="1"/>
    <s v="Running Shoes"/>
    <s v="Retail Store"/>
    <n v="7"/>
    <n v="577.41999999999996"/>
    <n v="0"/>
    <n v="18"/>
    <s v="Completed"/>
    <n v="4041.9399999999996"/>
    <n v="0"/>
    <n v="727.54919999999993"/>
    <n v="4769.4892"/>
  </r>
  <r>
    <s v="ORD-1455"/>
    <d v="2024-06-10T00:00:00"/>
    <s v="West"/>
    <s v="Kavya Reddy"/>
    <x v="3"/>
    <s v="Office Chair"/>
    <s v="Wholesale"/>
    <n v="10"/>
    <n v="1135.45"/>
    <n v="5"/>
    <n v="18"/>
    <s v="Returned"/>
    <n v="11354.5"/>
    <n v="567.72500000000002"/>
    <n v="1941.6194999999998"/>
    <n v="12728.394499999999"/>
  </r>
  <r>
    <s v="ORD-1456"/>
    <d v="2024-05-21T00:00:00"/>
    <s v="North"/>
    <s v="Kavya Reddy"/>
    <x v="2"/>
    <s v="Organic Tea"/>
    <s v="Retail Store"/>
    <n v="46"/>
    <n v="1482.23"/>
    <n v="10"/>
    <n v="18"/>
    <s v="Completed"/>
    <n v="68182.58"/>
    <n v="6818.2580000000007"/>
    <n v="11045.577960000001"/>
    <n v="72409.899959999995"/>
  </r>
  <r>
    <s v="ORD-1457"/>
    <d v="2024-10-09T00:00:00"/>
    <s v="East"/>
    <s v="Meera Joshi"/>
    <x v="3"/>
    <s v="Dining Table"/>
    <s v="Direct Sales"/>
    <n v="23"/>
    <n v="1551.79"/>
    <n v="10"/>
    <n v="18"/>
    <s v="Pending"/>
    <n v="35691.17"/>
    <n v="3569.1169999999997"/>
    <n v="5781.9695400000001"/>
    <n v="37904.022539999998"/>
  </r>
  <r>
    <s v="ORD-1458"/>
    <d v="2024-02-09T00:00:00"/>
    <s v="North"/>
    <s v="Vikram Nair"/>
    <x v="0"/>
    <s v="Smartphone"/>
    <s v="Retail Store"/>
    <n v="13"/>
    <n v="533.84"/>
    <n v="20"/>
    <n v="18"/>
    <s v="Returned"/>
    <n v="6939.92"/>
    <n v="1387.9839999999999"/>
    <n v="999.34848"/>
    <n v="6551.2844799999993"/>
  </r>
  <r>
    <s v="ORD-1459"/>
    <d v="2024-08-29T00:00:00"/>
    <s v="North"/>
    <s v="Aditya Kumar"/>
    <x v="0"/>
    <s v="Laptop"/>
    <s v="Retail Store"/>
    <n v="36"/>
    <n v="528.63"/>
    <n v="15"/>
    <n v="18"/>
    <s v="Completed"/>
    <n v="19030.68"/>
    <n v="2854.6020000000003"/>
    <n v="2911.6940399999999"/>
    <n v="19087.77204"/>
  </r>
  <r>
    <s v="ORD-1460"/>
    <d v="2024-07-22T00:00:00"/>
    <s v="West"/>
    <s v="Sneha Iyer"/>
    <x v="4"/>
    <s v="Jacket"/>
    <s v="Wholesale"/>
    <n v="30"/>
    <n v="1007.24"/>
    <n v="0"/>
    <n v="18"/>
    <s v="Completed"/>
    <n v="30217.200000000001"/>
    <n v="0"/>
    <n v="5439.0959999999995"/>
    <n v="35656.296000000002"/>
  </r>
  <r>
    <s v="ORD-1461"/>
    <d v="2024-10-16T00:00:00"/>
    <s v="North"/>
    <s v="Sneha Iyer"/>
    <x v="3"/>
    <s v="Wardrobe"/>
    <s v="Retail Store"/>
    <n v="9"/>
    <n v="897.98"/>
    <n v="0"/>
    <n v="18"/>
    <s v="Returned"/>
    <n v="8081.82"/>
    <n v="0"/>
    <n v="1454.7276000000002"/>
    <n v="9536.5475999999999"/>
  </r>
  <r>
    <s v="ORD-1462"/>
    <d v="2024-05-15T00:00:00"/>
    <s v="West"/>
    <s v="Kavya Reddy"/>
    <x v="1"/>
    <s v="Dumbbells"/>
    <s v="Online"/>
    <n v="49"/>
    <n v="980.41"/>
    <n v="0"/>
    <n v="18"/>
    <s v="Completed"/>
    <n v="48040.09"/>
    <n v="0"/>
    <n v="8647.2161999999989"/>
    <n v="56687.306199999992"/>
  </r>
  <r>
    <s v="ORD-1463"/>
    <d v="2024-01-21T00:00:00"/>
    <s v="North"/>
    <s v="Sneha Iyer"/>
    <x v="3"/>
    <s v="Dining Table"/>
    <s v="Wholesale"/>
    <n v="31"/>
    <n v="1836.62"/>
    <n v="0"/>
    <n v="18"/>
    <s v="Pending"/>
    <n v="56935.219999999994"/>
    <n v="0"/>
    <n v="10248.339599999999"/>
    <n v="67183.559599999993"/>
  </r>
  <r>
    <s v="ORD-1464"/>
    <d v="2024-11-30T00:00:00"/>
    <s v="East"/>
    <s v="Vikram Nair"/>
    <x v="3"/>
    <s v="Sofa"/>
    <s v="Retail Store"/>
    <n v="42"/>
    <n v="763.25"/>
    <n v="15"/>
    <n v="18"/>
    <s v="Pending"/>
    <n v="32056.5"/>
    <n v="4808.4750000000004"/>
    <n v="4904.6445000000003"/>
    <n v="32152.669500000004"/>
  </r>
  <r>
    <s v="ORD-1465"/>
    <d v="2024-09-06T00:00:00"/>
    <s v="East"/>
    <s v="Aditya Kumar"/>
    <x v="0"/>
    <s v="Smartwatch"/>
    <s v="Retail Store"/>
    <n v="26"/>
    <n v="712.27"/>
    <n v="5"/>
    <n v="18"/>
    <s v="Returned"/>
    <n v="18519.02"/>
    <n v="925.95100000000002"/>
    <n v="3166.7524199999998"/>
    <n v="20759.82142"/>
  </r>
  <r>
    <s v="ORD-1466"/>
    <d v="2024-05-23T00:00:00"/>
    <s v="North"/>
    <s v="Rahul Mehta"/>
    <x v="2"/>
    <s v="Juice Pack"/>
    <s v="Direct Sales"/>
    <n v="15"/>
    <n v="163.41"/>
    <n v="20"/>
    <n v="18"/>
    <s v="Completed"/>
    <n v="2451.15"/>
    <n v="490.23"/>
    <n v="352.96559999999999"/>
    <n v="2313.8856000000001"/>
  </r>
  <r>
    <s v="ORD-1467"/>
    <d v="2024-04-27T00:00:00"/>
    <s v="South"/>
    <s v="Rahul Mehta"/>
    <x v="4"/>
    <s v="Jeans"/>
    <s v="Wholesale"/>
    <n v="46"/>
    <n v="1635.74"/>
    <n v="20"/>
    <n v="18"/>
    <s v="Returned"/>
    <n v="75244.039999999994"/>
    <n v="15048.807999999997"/>
    <n v="10835.14176"/>
    <n v="71030.373760000002"/>
  </r>
  <r>
    <s v="ORD-1468"/>
    <d v="2024-07-29T00:00:00"/>
    <s v="North"/>
    <s v="Meera Joshi"/>
    <x v="2"/>
    <s v="Protein Shake"/>
    <s v="Direct Sales"/>
    <n v="14"/>
    <n v="1185.67"/>
    <n v="20"/>
    <n v="18"/>
    <s v="Pending"/>
    <n v="16599.38"/>
    <n v="3319.8760000000002"/>
    <n v="2390.3107199999999"/>
    <n v="15669.81472"/>
  </r>
  <r>
    <s v="ORD-1469"/>
    <d v="2024-03-16T00:00:00"/>
    <s v="North"/>
    <s v="Rahul Mehta"/>
    <x v="0"/>
    <s v="Smartphone"/>
    <s v="Retail Store"/>
    <n v="41"/>
    <n v="1030.1600000000001"/>
    <n v="15"/>
    <n v="18"/>
    <s v="Completed"/>
    <n v="42236.560000000005"/>
    <n v="6335.4840000000004"/>
    <n v="6462.1936800000003"/>
    <n v="42363.269679999998"/>
  </r>
  <r>
    <s v="ORD-1470"/>
    <d v="2024-12-04T00:00:00"/>
    <s v="East"/>
    <s v="Rahul Mehta"/>
    <x v="0"/>
    <s v="Smartphone"/>
    <s v="Direct Sales"/>
    <n v="37"/>
    <n v="1278.8699999999999"/>
    <n v="20"/>
    <n v="18"/>
    <s v="Returned"/>
    <n v="47318.189999999995"/>
    <n v="9463.637999999999"/>
    <n v="6813.8193599999995"/>
    <n v="44668.371359999997"/>
  </r>
  <r>
    <s v="ORD-1471"/>
    <d v="2024-11-03T00:00:00"/>
    <s v="South"/>
    <s v="Meera Joshi"/>
    <x v="3"/>
    <s v="Sofa"/>
    <s v="Direct Sales"/>
    <n v="11"/>
    <n v="446.53"/>
    <n v="10"/>
    <n v="18"/>
    <s v="Pending"/>
    <n v="4911.83"/>
    <n v="491.18300000000005"/>
    <n v="795.71645999999998"/>
    <n v="5216.3634599999996"/>
  </r>
  <r>
    <s v="ORD-1472"/>
    <d v="2024-04-27T00:00:00"/>
    <s v="South"/>
    <s v="Vikram Nair"/>
    <x v="4"/>
    <s v="Sneakers"/>
    <s v="Retail Store"/>
    <n v="30"/>
    <n v="1197.0999999999999"/>
    <n v="0"/>
    <n v="18"/>
    <s v="Completed"/>
    <n v="35913"/>
    <n v="0"/>
    <n v="6464.34"/>
    <n v="42377.34"/>
  </r>
  <r>
    <s v="ORD-1473"/>
    <d v="2024-12-16T00:00:00"/>
    <s v="South"/>
    <s v="Priya Patel"/>
    <x v="2"/>
    <s v="Energy Bar"/>
    <s v="Online"/>
    <n v="34"/>
    <n v="1720.59"/>
    <n v="15"/>
    <n v="18"/>
    <s v="Completed"/>
    <n v="58500.06"/>
    <n v="8775.0089999999982"/>
    <n v="8950.5091799999991"/>
    <n v="58675.56018"/>
  </r>
  <r>
    <s v="ORD-1474"/>
    <d v="2024-09-14T00:00:00"/>
    <s v="North"/>
    <s v="Rahul Mehta"/>
    <x v="2"/>
    <s v="Organic Tea"/>
    <s v="Direct Sales"/>
    <n v="39"/>
    <n v="87.68"/>
    <n v="15"/>
    <n v="18"/>
    <s v="Returned"/>
    <n v="3419.5200000000004"/>
    <n v="512.928"/>
    <n v="523.1865600000001"/>
    <n v="3429.7785600000007"/>
  </r>
  <r>
    <s v="ORD-1475"/>
    <d v="2024-12-23T00:00:00"/>
    <s v="West"/>
    <s v="Rahul Mehta"/>
    <x v="0"/>
    <s v="Laptop"/>
    <s v="Online"/>
    <n v="34"/>
    <n v="847.16"/>
    <n v="0"/>
    <n v="18"/>
    <s v="Pending"/>
    <n v="28803.439999999999"/>
    <n v="0"/>
    <n v="5184.6192000000001"/>
    <n v="33988.059199999996"/>
  </r>
  <r>
    <s v="ORD-1476"/>
    <d v="2024-10-21T00:00:00"/>
    <s v="South"/>
    <s v="Meera Joshi"/>
    <x v="1"/>
    <s v="Running Shoes"/>
    <s v="Direct Sales"/>
    <n v="38"/>
    <n v="1611.2"/>
    <n v="20"/>
    <n v="18"/>
    <s v="Completed"/>
    <n v="61225.599999999999"/>
    <n v="12245.12"/>
    <n v="8816.4863999999998"/>
    <n v="57796.966399999998"/>
  </r>
  <r>
    <s v="ORD-1477"/>
    <d v="2024-07-28T00:00:00"/>
    <s v="South"/>
    <s v="Vikram Nair"/>
    <x v="0"/>
    <s v="Headphones"/>
    <s v="Direct Sales"/>
    <n v="6"/>
    <n v="573.70000000000005"/>
    <n v="15"/>
    <n v="18"/>
    <s v="Completed"/>
    <n v="3442.2000000000003"/>
    <n v="516.33000000000004"/>
    <n v="526.65660000000003"/>
    <n v="3452.5266000000001"/>
  </r>
  <r>
    <s v="ORD-1478"/>
    <d v="2024-12-18T00:00:00"/>
    <s v="North"/>
    <s v="Arjun Sharma"/>
    <x v="3"/>
    <s v="Dining Table"/>
    <s v="Online"/>
    <n v="1"/>
    <n v="756.31"/>
    <n v="0"/>
    <n v="18"/>
    <s v="Returned"/>
    <n v="756.31"/>
    <n v="0"/>
    <n v="136.13579999999999"/>
    <n v="892.44579999999996"/>
  </r>
  <r>
    <s v="ORD-1479"/>
    <d v="2024-10-01T00:00:00"/>
    <s v="East"/>
    <s v="Priya Patel"/>
    <x v="3"/>
    <s v="Office Chair"/>
    <s v="Retail Store"/>
    <n v="42"/>
    <n v="1174.8900000000001"/>
    <n v="5"/>
    <n v="18"/>
    <s v="Pending"/>
    <n v="49345.380000000005"/>
    <n v="2467.2690000000002"/>
    <n v="8438.0599800000018"/>
    <n v="55316.17098000001"/>
  </r>
  <r>
    <s v="ORD-1480"/>
    <d v="2024-09-04T00:00:00"/>
    <s v="East"/>
    <s v="Vikram Nair"/>
    <x v="2"/>
    <s v="Juice Pack"/>
    <s v="Direct Sales"/>
    <n v="27"/>
    <n v="1108.69"/>
    <n v="15"/>
    <n v="18"/>
    <s v="Completed"/>
    <n v="29934.63"/>
    <n v="4490.1945000000005"/>
    <n v="4579.9983899999997"/>
    <n v="30024.43389"/>
  </r>
  <r>
    <s v="ORD-1481"/>
    <d v="2024-03-11T00:00:00"/>
    <s v="West"/>
    <s v="Vikram Nair"/>
    <x v="4"/>
    <s v="Jacket"/>
    <s v="Wholesale"/>
    <n v="23"/>
    <n v="1550.65"/>
    <n v="10"/>
    <n v="18"/>
    <s v="Returned"/>
    <n v="35664.950000000004"/>
    <n v="3566.4950000000008"/>
    <n v="5777.7219000000005"/>
    <n v="37876.176900000006"/>
  </r>
  <r>
    <s v="ORD-1482"/>
    <d v="2024-10-08T00:00:00"/>
    <s v="West"/>
    <s v="Rahul Mehta"/>
    <x v="0"/>
    <s v="Smartphone"/>
    <s v="Online"/>
    <n v="33"/>
    <n v="807.12"/>
    <n v="5"/>
    <n v="18"/>
    <s v="Completed"/>
    <n v="26634.959999999999"/>
    <n v="1331.7479999999998"/>
    <n v="4554.57816"/>
    <n v="29857.79016"/>
  </r>
  <r>
    <s v="ORD-1483"/>
    <d v="2024-08-10T00:00:00"/>
    <s v="South"/>
    <s v="Aditya Kumar"/>
    <x v="1"/>
    <s v="Yoga Mat"/>
    <s v="Online"/>
    <n v="10"/>
    <n v="948.62"/>
    <n v="15"/>
    <n v="18"/>
    <s v="Completed"/>
    <n v="9486.2000000000007"/>
    <n v="1422.93"/>
    <n v="1451.3886000000002"/>
    <n v="9514.6586000000007"/>
  </r>
  <r>
    <s v="ORD-1484"/>
    <d v="2024-07-24T00:00:00"/>
    <s v="East"/>
    <s v="Sneha Iyer"/>
    <x v="0"/>
    <s v="Laptop"/>
    <s v="Wholesale"/>
    <n v="39"/>
    <n v="85.13"/>
    <n v="10"/>
    <n v="18"/>
    <s v="Completed"/>
    <n v="3320.0699999999997"/>
    <n v="332.00699999999995"/>
    <n v="537.85133999999994"/>
    <n v="3525.9143399999994"/>
  </r>
  <r>
    <s v="ORD-1485"/>
    <d v="2024-09-22T00:00:00"/>
    <s v="East"/>
    <s v="Arjun Sharma"/>
    <x v="1"/>
    <s v="Tennis Racket"/>
    <s v="Retail Store"/>
    <n v="29"/>
    <n v="31.31"/>
    <n v="20"/>
    <n v="18"/>
    <s v="Pending"/>
    <n v="907.99"/>
    <n v="181.59799999999998"/>
    <n v="130.75056000000001"/>
    <n v="857.14256"/>
  </r>
  <r>
    <s v="ORD-1486"/>
    <d v="2024-03-21T00:00:00"/>
    <s v="North"/>
    <s v="Sneha Iyer"/>
    <x v="3"/>
    <s v="Dining Table"/>
    <s v="Retail Store"/>
    <n v="24"/>
    <n v="486.12"/>
    <n v="0"/>
    <n v="18"/>
    <s v="Completed"/>
    <n v="11666.880000000001"/>
    <n v="0"/>
    <n v="2100.0384000000004"/>
    <n v="13766.918400000002"/>
  </r>
  <r>
    <s v="ORD-1487"/>
    <d v="2024-12-26T00:00:00"/>
    <s v="West"/>
    <s v="Kavya Reddy"/>
    <x v="0"/>
    <s v="Tablet"/>
    <s v="Direct Sales"/>
    <n v="38"/>
    <n v="408.62"/>
    <n v="0"/>
    <n v="18"/>
    <s v="Pending"/>
    <n v="15527.56"/>
    <n v="0"/>
    <n v="2794.9608000000003"/>
    <n v="18322.520799999998"/>
  </r>
  <r>
    <s v="ORD-1488"/>
    <d v="2024-08-20T00:00:00"/>
    <s v="East"/>
    <s v="Kavya Reddy"/>
    <x v="0"/>
    <s v="Laptop"/>
    <s v="Wholesale"/>
    <n v="15"/>
    <n v="1216.6600000000001"/>
    <n v="0"/>
    <n v="18"/>
    <s v="Completed"/>
    <n v="18249.900000000001"/>
    <n v="0"/>
    <n v="3284.982"/>
    <n v="21534.882000000001"/>
  </r>
  <r>
    <s v="ORD-1489"/>
    <d v="2024-09-14T00:00:00"/>
    <s v="North"/>
    <s v="Vikram Nair"/>
    <x v="2"/>
    <s v="Juice Pack"/>
    <s v="Retail Store"/>
    <n v="33"/>
    <n v="221.87"/>
    <n v="0"/>
    <n v="18"/>
    <s v="Pending"/>
    <n v="7321.71"/>
    <n v="0"/>
    <n v="1317.9078"/>
    <n v="8639.6178"/>
  </r>
  <r>
    <s v="ORD-1490"/>
    <d v="2024-06-22T00:00:00"/>
    <s v="North"/>
    <s v="Vikram Nair"/>
    <x v="3"/>
    <s v="Bookshelf"/>
    <s v="Wholesale"/>
    <n v="25"/>
    <n v="1130.71"/>
    <n v="0"/>
    <n v="18"/>
    <s v="Pending"/>
    <n v="28267.75"/>
    <n v="0"/>
    <n v="5088.1949999999997"/>
    <n v="33355.945"/>
  </r>
  <r>
    <s v="ORD-1491"/>
    <d v="2024-12-12T00:00:00"/>
    <s v="North"/>
    <s v="Meera Joshi"/>
    <x v="2"/>
    <s v="Energy Bar"/>
    <s v="Online"/>
    <n v="5"/>
    <n v="771.52"/>
    <n v="0"/>
    <n v="18"/>
    <s v="Completed"/>
    <n v="3857.6"/>
    <n v="0"/>
    <n v="694.36800000000005"/>
    <n v="4551.9679999999998"/>
  </r>
  <r>
    <s v="ORD-1492"/>
    <d v="2024-12-10T00:00:00"/>
    <s v="West"/>
    <s v="Kavya Reddy"/>
    <x v="4"/>
    <s v="Jacket"/>
    <s v="Online"/>
    <n v="16"/>
    <n v="581.71"/>
    <n v="10"/>
    <n v="18"/>
    <s v="Completed"/>
    <n v="9307.36"/>
    <n v="930.7360000000001"/>
    <n v="1507.7923199999998"/>
    <n v="9884.4163200000003"/>
  </r>
  <r>
    <s v="ORD-1493"/>
    <d v="2024-04-03T00:00:00"/>
    <s v="South"/>
    <s v="Meera Joshi"/>
    <x v="3"/>
    <s v="Sofa"/>
    <s v="Wholesale"/>
    <n v="14"/>
    <n v="1789.69"/>
    <n v="5"/>
    <n v="18"/>
    <s v="Completed"/>
    <n v="25055.66"/>
    <n v="1252.7830000000001"/>
    <n v="4284.5178599999999"/>
    <n v="28087.39486"/>
  </r>
  <r>
    <s v="ORD-1494"/>
    <d v="2024-11-12T00:00:00"/>
    <s v="South"/>
    <s v="Sneha Iyer"/>
    <x v="4"/>
    <s v="Dress"/>
    <s v="Retail Store"/>
    <n v="14"/>
    <n v="466.12"/>
    <n v="0"/>
    <n v="18"/>
    <s v="Completed"/>
    <n v="6525.68"/>
    <n v="0"/>
    <n v="1174.6224"/>
    <n v="7700.3024000000005"/>
  </r>
  <r>
    <s v="ORD-1495"/>
    <d v="2024-01-22T00:00:00"/>
    <s v="North"/>
    <s v="Priya Patel"/>
    <x v="3"/>
    <s v="Dining Table"/>
    <s v="Online"/>
    <n v="40"/>
    <n v="23.18"/>
    <n v="15"/>
    <n v="18"/>
    <s v="Pending"/>
    <n v="927.2"/>
    <n v="139.08000000000001"/>
    <n v="141.86160000000001"/>
    <n v="929.98160000000007"/>
  </r>
  <r>
    <s v="ORD-1496"/>
    <d v="2024-05-23T00:00:00"/>
    <s v="East"/>
    <s v="Meera Joshi"/>
    <x v="2"/>
    <s v="Protein Shake"/>
    <s v="Wholesale"/>
    <n v="12"/>
    <n v="1968.95"/>
    <n v="15"/>
    <n v="18"/>
    <s v="Pending"/>
    <n v="23627.4"/>
    <n v="3544.11"/>
    <n v="3614.9922000000001"/>
    <n v="23698.282200000001"/>
  </r>
  <r>
    <s v="ORD-1497"/>
    <d v="2024-07-20T00:00:00"/>
    <s v="South"/>
    <s v="Arjun Sharma"/>
    <x v="2"/>
    <s v="Organic Tea"/>
    <s v="Direct Sales"/>
    <n v="35"/>
    <n v="74.8"/>
    <n v="5"/>
    <n v="18"/>
    <s v="Pending"/>
    <n v="2618"/>
    <n v="130.9"/>
    <n v="447.67799999999994"/>
    <n v="2934.7779999999998"/>
  </r>
  <r>
    <s v="ORD-1498"/>
    <d v="2024-10-24T00:00:00"/>
    <s v="North"/>
    <s v="Meera Joshi"/>
    <x v="4"/>
    <s v="Dress"/>
    <s v="Wholesale"/>
    <n v="1"/>
    <n v="1351.47"/>
    <n v="10"/>
    <n v="18"/>
    <s v="Completed"/>
    <n v="1351.47"/>
    <n v="135.14700000000002"/>
    <n v="218.93814000000003"/>
    <n v="1435.2611400000001"/>
  </r>
  <r>
    <s v="ORD-1499"/>
    <d v="2024-11-09T00:00:00"/>
    <s v="East"/>
    <s v="Vikram Nair"/>
    <x v="0"/>
    <s v="Tablet"/>
    <s v="Retail Store"/>
    <n v="17"/>
    <n v="481.91"/>
    <n v="10"/>
    <n v="18"/>
    <s v="Returned"/>
    <n v="8192.4700000000012"/>
    <n v="819.24700000000007"/>
    <n v="1327.1801400000002"/>
    <n v="8700.4031400000003"/>
  </r>
  <r>
    <s v="ORD-1500"/>
    <d v="2024-07-05T00:00:00"/>
    <s v="South"/>
    <s v="Meera Joshi"/>
    <x v="3"/>
    <s v="Bookshelf"/>
    <s v="Direct Sales"/>
    <n v="27"/>
    <n v="1404.42"/>
    <n v="5"/>
    <n v="18"/>
    <s v="Completed"/>
    <n v="37919.340000000004"/>
    <n v="1895.9670000000001"/>
    <n v="6484.2071400000013"/>
    <n v="42507.5801400000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1"/>
    <x v="0"/>
    <x v="0"/>
    <x v="0"/>
    <s v="Electronics"/>
    <s v="Laptop"/>
    <x v="0"/>
    <n v="48"/>
    <n v="213.97"/>
    <n v="20"/>
    <n v="18"/>
    <s v="Completed"/>
    <n v="10270.56"/>
    <n v="2054.1119999999996"/>
    <n v="1478.9606400000002"/>
    <n v="9695.4086400000015"/>
  </r>
  <r>
    <s v="ORD-1002"/>
    <x v="1"/>
    <x v="1"/>
    <x v="1"/>
    <s v="Electronics"/>
    <s v="Smartwatch"/>
    <x v="1"/>
    <n v="14"/>
    <n v="473"/>
    <n v="15"/>
    <n v="18"/>
    <s v="Completed"/>
    <n v="6622"/>
    <n v="993.3"/>
    <n v="1013.1659999999999"/>
    <n v="6641.866"/>
  </r>
  <r>
    <s v="ORD-1003"/>
    <x v="2"/>
    <x v="1"/>
    <x v="0"/>
    <s v="Sports"/>
    <s v="Dumbbells"/>
    <x v="2"/>
    <n v="18"/>
    <n v="1620.77"/>
    <n v="0"/>
    <n v="18"/>
    <s v="Returned"/>
    <n v="29173.86"/>
    <n v="0"/>
    <n v="5251.2947999999997"/>
    <n v="34425.154800000004"/>
  </r>
  <r>
    <s v="ORD-1004"/>
    <x v="3"/>
    <x v="0"/>
    <x v="2"/>
    <s v="Food &amp; Beverages"/>
    <s v="Protein Shake"/>
    <x v="0"/>
    <n v="7"/>
    <n v="194.56"/>
    <n v="0"/>
    <n v="18"/>
    <s v="Completed"/>
    <n v="1361.92"/>
    <n v="0"/>
    <n v="245.1456"/>
    <n v="1607.0656000000001"/>
  </r>
  <r>
    <s v="ORD-1005"/>
    <x v="4"/>
    <x v="0"/>
    <x v="1"/>
    <s v="Furniture"/>
    <s v="Wardrobe"/>
    <x v="2"/>
    <n v="8"/>
    <n v="1946.5"/>
    <n v="10"/>
    <n v="18"/>
    <s v="Returned"/>
    <n v="15572"/>
    <n v="1557.2"/>
    <n v="2522.6639999999998"/>
    <n v="16537.464"/>
  </r>
  <r>
    <s v="ORD-1006"/>
    <x v="4"/>
    <x v="0"/>
    <x v="0"/>
    <s v="Sports"/>
    <s v="Cycling Helmet"/>
    <x v="1"/>
    <n v="43"/>
    <n v="463.52"/>
    <n v="5"/>
    <n v="18"/>
    <s v="Completed"/>
    <n v="19931.36"/>
    <n v="996.56799999999998"/>
    <n v="3408.2625600000006"/>
    <n v="22343.05456"/>
  </r>
  <r>
    <s v="ORD-1007"/>
    <x v="5"/>
    <x v="1"/>
    <x v="3"/>
    <s v="Clothing"/>
    <s v="T-Shirt"/>
    <x v="2"/>
    <n v="11"/>
    <n v="746.66"/>
    <n v="0"/>
    <n v="18"/>
    <s v="Completed"/>
    <n v="8213.26"/>
    <n v="0"/>
    <n v="1478.3868"/>
    <n v="9691.6468000000004"/>
  </r>
  <r>
    <s v="ORD-1008"/>
    <x v="6"/>
    <x v="2"/>
    <x v="0"/>
    <s v="Furniture"/>
    <s v="Sofa"/>
    <x v="0"/>
    <n v="25"/>
    <n v="547.20000000000005"/>
    <n v="20"/>
    <n v="18"/>
    <s v="Pending"/>
    <n v="13680.000000000002"/>
    <n v="2736.0000000000005"/>
    <n v="1969.9200000000003"/>
    <n v="12913.920000000002"/>
  </r>
  <r>
    <s v="ORD-1009"/>
    <x v="7"/>
    <x v="0"/>
    <x v="1"/>
    <s v="Sports"/>
    <s v="Dumbbells"/>
    <x v="0"/>
    <n v="21"/>
    <n v="808.32"/>
    <n v="0"/>
    <n v="18"/>
    <s v="Completed"/>
    <n v="16974.72"/>
    <n v="0"/>
    <n v="3055.4496000000004"/>
    <n v="20030.169600000001"/>
  </r>
  <r>
    <s v="ORD-1010"/>
    <x v="8"/>
    <x v="2"/>
    <x v="4"/>
    <s v="Sports"/>
    <s v="Cycling Helmet"/>
    <x v="2"/>
    <n v="10"/>
    <n v="537.11"/>
    <n v="0"/>
    <n v="18"/>
    <s v="Pending"/>
    <n v="5371.1"/>
    <n v="0"/>
    <n v="966.798"/>
    <n v="6337.8980000000001"/>
  </r>
  <r>
    <s v="ORD-1011"/>
    <x v="9"/>
    <x v="1"/>
    <x v="5"/>
    <s v="Sports"/>
    <s v="Cycling Helmet"/>
    <x v="3"/>
    <n v="9"/>
    <n v="1023.96"/>
    <n v="0"/>
    <n v="18"/>
    <s v="Completed"/>
    <n v="9215.64"/>
    <n v="0"/>
    <n v="1658.8152"/>
    <n v="10874.4552"/>
  </r>
  <r>
    <s v="ORD-1012"/>
    <x v="10"/>
    <x v="2"/>
    <x v="5"/>
    <s v="Electronics"/>
    <s v="Smartphone"/>
    <x v="1"/>
    <n v="25"/>
    <n v="1195.82"/>
    <n v="10"/>
    <n v="18"/>
    <s v="Pending"/>
    <n v="29895.5"/>
    <n v="2989.55"/>
    <n v="4843.0709999999999"/>
    <n v="31749.021000000001"/>
  </r>
  <r>
    <s v="ORD-1013"/>
    <x v="11"/>
    <x v="3"/>
    <x v="6"/>
    <s v="Furniture"/>
    <s v="Wardrobe"/>
    <x v="3"/>
    <n v="8"/>
    <n v="594.07000000000005"/>
    <n v="0"/>
    <n v="18"/>
    <s v="Completed"/>
    <n v="4752.5600000000004"/>
    <n v="0"/>
    <n v="855.46080000000006"/>
    <n v="5608.0208000000002"/>
  </r>
  <r>
    <s v="ORD-1014"/>
    <x v="12"/>
    <x v="2"/>
    <x v="6"/>
    <s v="Electronics"/>
    <s v="Tablet"/>
    <x v="3"/>
    <n v="39"/>
    <n v="405.83"/>
    <n v="5"/>
    <n v="18"/>
    <s v="Returned"/>
    <n v="15827.369999999999"/>
    <n v="791.36849999999993"/>
    <n v="2706.48027"/>
    <n v="17742.481769999999"/>
  </r>
  <r>
    <s v="ORD-1015"/>
    <x v="13"/>
    <x v="3"/>
    <x v="7"/>
    <s v="Sports"/>
    <s v="Tennis Racket"/>
    <x v="2"/>
    <n v="8"/>
    <n v="1858.91"/>
    <n v="5"/>
    <n v="18"/>
    <s v="Completed"/>
    <n v="14871.28"/>
    <n v="743.56400000000008"/>
    <n v="2542.9888799999999"/>
    <n v="16670.704880000001"/>
  </r>
  <r>
    <s v="ORD-1016"/>
    <x v="14"/>
    <x v="3"/>
    <x v="6"/>
    <s v="Electronics"/>
    <s v="Smartphone"/>
    <x v="2"/>
    <n v="49"/>
    <n v="1070.0899999999999"/>
    <n v="0"/>
    <n v="18"/>
    <s v="Completed"/>
    <n v="52434.409999999996"/>
    <n v="0"/>
    <n v="9438.1937999999991"/>
    <n v="61872.603799999997"/>
  </r>
  <r>
    <s v="ORD-1017"/>
    <x v="15"/>
    <x v="2"/>
    <x v="3"/>
    <s v="Food &amp; Beverages"/>
    <s v="Juice Pack"/>
    <x v="2"/>
    <n v="35"/>
    <n v="1512.98"/>
    <n v="20"/>
    <n v="18"/>
    <s v="Completed"/>
    <n v="52954.3"/>
    <n v="10590.86"/>
    <n v="7625.4192000000003"/>
    <n v="49988.859200000006"/>
  </r>
  <r>
    <s v="ORD-1018"/>
    <x v="16"/>
    <x v="0"/>
    <x v="4"/>
    <s v="Furniture"/>
    <s v="Office Chair"/>
    <x v="2"/>
    <n v="16"/>
    <n v="457.15"/>
    <n v="5"/>
    <n v="18"/>
    <s v="Completed"/>
    <n v="7314.4"/>
    <n v="365.72"/>
    <n v="1250.7623999999998"/>
    <n v="8199.4423999999999"/>
  </r>
  <r>
    <s v="ORD-1019"/>
    <x v="17"/>
    <x v="2"/>
    <x v="0"/>
    <s v="Sports"/>
    <s v="Tennis Racket"/>
    <x v="1"/>
    <n v="46"/>
    <n v="1265.8900000000001"/>
    <n v="0"/>
    <n v="18"/>
    <s v="Completed"/>
    <n v="58230.94"/>
    <n v="0"/>
    <n v="10481.5692"/>
    <n v="68712.5092"/>
  </r>
  <r>
    <s v="ORD-1020"/>
    <x v="18"/>
    <x v="3"/>
    <x v="0"/>
    <s v="Electronics"/>
    <s v="Tablet"/>
    <x v="3"/>
    <n v="14"/>
    <n v="1083.08"/>
    <n v="20"/>
    <n v="18"/>
    <s v="Pending"/>
    <n v="15163.119999999999"/>
    <n v="3032.6239999999998"/>
    <n v="2183.4892799999998"/>
    <n v="14313.985279999999"/>
  </r>
  <r>
    <s v="ORD-1021"/>
    <x v="19"/>
    <x v="2"/>
    <x v="4"/>
    <s v="Sports"/>
    <s v="Running Shoes"/>
    <x v="2"/>
    <n v="7"/>
    <n v="202.89"/>
    <n v="10"/>
    <n v="18"/>
    <s v="Completed"/>
    <n v="1420.23"/>
    <n v="142.023"/>
    <n v="230.07726000000002"/>
    <n v="1508.2842600000001"/>
  </r>
  <r>
    <s v="ORD-1022"/>
    <x v="20"/>
    <x v="1"/>
    <x v="1"/>
    <s v="Food &amp; Beverages"/>
    <s v="Energy Bar"/>
    <x v="1"/>
    <n v="26"/>
    <n v="1459.15"/>
    <n v="0"/>
    <n v="18"/>
    <s v="Completed"/>
    <n v="37937.9"/>
    <n v="0"/>
    <n v="6828.822000000001"/>
    <n v="44766.722000000002"/>
  </r>
  <r>
    <s v="ORD-1023"/>
    <x v="21"/>
    <x v="1"/>
    <x v="2"/>
    <s v="Clothing"/>
    <s v="Jeans"/>
    <x v="2"/>
    <n v="18"/>
    <n v="930.63"/>
    <n v="0"/>
    <n v="18"/>
    <s v="Completed"/>
    <n v="16751.34"/>
    <n v="0"/>
    <n v="3015.2411999999999"/>
    <n v="19766.581200000001"/>
  </r>
  <r>
    <s v="ORD-1024"/>
    <x v="22"/>
    <x v="3"/>
    <x v="1"/>
    <s v="Sports"/>
    <s v="Yoga Mat"/>
    <x v="1"/>
    <n v="11"/>
    <n v="818.76"/>
    <n v="10"/>
    <n v="18"/>
    <s v="Completed"/>
    <n v="9006.36"/>
    <n v="900.63600000000008"/>
    <n v="1459.0303200000001"/>
    <n v="9564.75432"/>
  </r>
  <r>
    <s v="ORD-1025"/>
    <x v="23"/>
    <x v="2"/>
    <x v="5"/>
    <s v="Food &amp; Beverages"/>
    <s v="Coffee Beans"/>
    <x v="1"/>
    <n v="17"/>
    <n v="1853.77"/>
    <n v="10"/>
    <n v="18"/>
    <s v="Pending"/>
    <n v="31514.09"/>
    <n v="3151.4090000000001"/>
    <n v="5105.2825800000001"/>
    <n v="33467.963580000003"/>
  </r>
  <r>
    <s v="ORD-1026"/>
    <x v="24"/>
    <x v="1"/>
    <x v="2"/>
    <s v="Food &amp; Beverages"/>
    <s v="Juice Pack"/>
    <x v="0"/>
    <n v="14"/>
    <n v="1937.73"/>
    <n v="15"/>
    <n v="18"/>
    <s v="Completed"/>
    <n v="27128.22"/>
    <n v="4069.2330000000006"/>
    <n v="4150.6176599999999"/>
    <n v="27209.604660000001"/>
  </r>
  <r>
    <s v="ORD-1027"/>
    <x v="25"/>
    <x v="3"/>
    <x v="1"/>
    <s v="Electronics"/>
    <s v="Tablet"/>
    <x v="2"/>
    <n v="34"/>
    <n v="323.29000000000002"/>
    <n v="15"/>
    <n v="18"/>
    <s v="Returned"/>
    <n v="10991.86"/>
    <n v="1648.7790000000002"/>
    <n v="1681.75458"/>
    <n v="11024.835580000001"/>
  </r>
  <r>
    <s v="ORD-1028"/>
    <x v="26"/>
    <x v="3"/>
    <x v="0"/>
    <s v="Clothing"/>
    <s v="T-Shirt"/>
    <x v="2"/>
    <n v="37"/>
    <n v="499.97"/>
    <n v="15"/>
    <n v="18"/>
    <s v="Completed"/>
    <n v="18498.89"/>
    <n v="2774.8334999999997"/>
    <n v="2830.3301699999997"/>
    <n v="18554.38667"/>
  </r>
  <r>
    <s v="ORD-1029"/>
    <x v="27"/>
    <x v="1"/>
    <x v="7"/>
    <s v="Sports"/>
    <s v="Yoga Mat"/>
    <x v="3"/>
    <n v="43"/>
    <n v="1435.22"/>
    <n v="0"/>
    <n v="18"/>
    <s v="Completed"/>
    <n v="61714.46"/>
    <n v="0"/>
    <n v="11108.602800000001"/>
    <n v="72823.0628"/>
  </r>
  <r>
    <s v="ORD-1030"/>
    <x v="28"/>
    <x v="0"/>
    <x v="4"/>
    <s v="Food &amp; Beverages"/>
    <s v="Organic Tea"/>
    <x v="3"/>
    <n v="1"/>
    <n v="921.99"/>
    <n v="15"/>
    <n v="18"/>
    <s v="Completed"/>
    <n v="921.99"/>
    <n v="138.29849999999999"/>
    <n v="141.06447"/>
    <n v="924.75597000000005"/>
  </r>
  <r>
    <s v="ORD-1031"/>
    <x v="29"/>
    <x v="2"/>
    <x v="3"/>
    <s v="Electronics"/>
    <s v="Smartwatch"/>
    <x v="0"/>
    <n v="5"/>
    <n v="1759.75"/>
    <n v="5"/>
    <n v="18"/>
    <s v="Completed"/>
    <n v="8798.75"/>
    <n v="439.9375"/>
    <n v="1504.5862500000001"/>
    <n v="9863.3987500000003"/>
  </r>
  <r>
    <s v="ORD-1032"/>
    <x v="30"/>
    <x v="0"/>
    <x v="1"/>
    <s v="Clothing"/>
    <s v="Dress"/>
    <x v="3"/>
    <n v="9"/>
    <n v="536.29"/>
    <n v="0"/>
    <n v="18"/>
    <s v="Completed"/>
    <n v="4826.6099999999997"/>
    <n v="0"/>
    <n v="868.78980000000001"/>
    <n v="5695.3997999999992"/>
  </r>
  <r>
    <s v="ORD-1033"/>
    <x v="31"/>
    <x v="0"/>
    <x v="0"/>
    <s v="Clothing"/>
    <s v="Jacket"/>
    <x v="3"/>
    <n v="44"/>
    <n v="1272.1300000000001"/>
    <n v="5"/>
    <n v="18"/>
    <s v="Completed"/>
    <n v="55973.72"/>
    <n v="2798.6859999999997"/>
    <n v="9571.50612"/>
    <n v="62746.540119999998"/>
  </r>
  <r>
    <s v="ORD-1034"/>
    <x v="32"/>
    <x v="3"/>
    <x v="6"/>
    <s v="Food &amp; Beverages"/>
    <s v="Protein Shake"/>
    <x v="2"/>
    <n v="3"/>
    <n v="17.059999999999999"/>
    <n v="0"/>
    <n v="18"/>
    <s v="Completed"/>
    <n v="51.179999999999993"/>
    <n v="0"/>
    <n v="9.2123999999999988"/>
    <n v="60.392399999999995"/>
  </r>
  <r>
    <s v="ORD-1035"/>
    <x v="33"/>
    <x v="1"/>
    <x v="5"/>
    <s v="Furniture"/>
    <s v="Dining Table"/>
    <x v="1"/>
    <n v="5"/>
    <n v="1890.65"/>
    <n v="20"/>
    <n v="18"/>
    <s v="Completed"/>
    <n v="9453.25"/>
    <n v="1890.65"/>
    <n v="1361.2680000000003"/>
    <n v="8923.8680000000004"/>
  </r>
  <r>
    <s v="ORD-1036"/>
    <x v="3"/>
    <x v="0"/>
    <x v="2"/>
    <s v="Sports"/>
    <s v="Yoga Mat"/>
    <x v="2"/>
    <n v="3"/>
    <n v="623.42999999999995"/>
    <n v="0"/>
    <n v="18"/>
    <s v="Completed"/>
    <n v="1870.29"/>
    <n v="0"/>
    <n v="336.65219999999999"/>
    <n v="2206.9422"/>
  </r>
  <r>
    <s v="ORD-1037"/>
    <x v="34"/>
    <x v="3"/>
    <x v="7"/>
    <s v="Clothing"/>
    <s v="Jeans"/>
    <x v="2"/>
    <n v="48"/>
    <n v="317.56"/>
    <n v="0"/>
    <n v="18"/>
    <s v="Returned"/>
    <n v="15242.880000000001"/>
    <n v="0"/>
    <n v="2743.7184000000002"/>
    <n v="17986.598400000003"/>
  </r>
  <r>
    <s v="ORD-1038"/>
    <x v="35"/>
    <x v="3"/>
    <x v="2"/>
    <s v="Clothing"/>
    <s v="Dress"/>
    <x v="3"/>
    <n v="43"/>
    <n v="1729.49"/>
    <n v="0"/>
    <n v="18"/>
    <s v="Pending"/>
    <n v="74368.070000000007"/>
    <n v="0"/>
    <n v="13386.252600000002"/>
    <n v="87754.322600000014"/>
  </r>
  <r>
    <s v="ORD-1039"/>
    <x v="36"/>
    <x v="1"/>
    <x v="1"/>
    <s v="Clothing"/>
    <s v="T-Shirt"/>
    <x v="2"/>
    <n v="13"/>
    <n v="1635.01"/>
    <n v="10"/>
    <n v="18"/>
    <s v="Completed"/>
    <n v="21255.13"/>
    <n v="2125.5130000000004"/>
    <n v="3443.3310600000004"/>
    <n v="22572.948060000002"/>
  </r>
  <r>
    <s v="ORD-1040"/>
    <x v="37"/>
    <x v="2"/>
    <x v="1"/>
    <s v="Furniture"/>
    <s v="Dining Table"/>
    <x v="0"/>
    <n v="22"/>
    <n v="564.41999999999996"/>
    <n v="0"/>
    <n v="18"/>
    <s v="Pending"/>
    <n v="12417.24"/>
    <n v="0"/>
    <n v="2235.1032"/>
    <n v="14652.343199999999"/>
  </r>
  <r>
    <s v="ORD-1041"/>
    <x v="38"/>
    <x v="1"/>
    <x v="7"/>
    <s v="Furniture"/>
    <s v="Wardrobe"/>
    <x v="1"/>
    <n v="17"/>
    <n v="365.35"/>
    <n v="5"/>
    <n v="18"/>
    <s v="Completed"/>
    <n v="6210.9500000000007"/>
    <n v="310.54750000000001"/>
    <n v="1062.0724500000003"/>
    <n v="6962.4749500000016"/>
  </r>
  <r>
    <s v="ORD-1042"/>
    <x v="39"/>
    <x v="1"/>
    <x v="7"/>
    <s v="Electronics"/>
    <s v="Smartwatch"/>
    <x v="3"/>
    <n v="39"/>
    <n v="1968.63"/>
    <n v="0"/>
    <n v="18"/>
    <s v="Pending"/>
    <n v="76776.570000000007"/>
    <n v="0"/>
    <n v="13819.782600000002"/>
    <n v="90596.352600000013"/>
  </r>
  <r>
    <s v="ORD-1043"/>
    <x v="40"/>
    <x v="0"/>
    <x v="1"/>
    <s v="Sports"/>
    <s v="Dumbbells"/>
    <x v="2"/>
    <n v="34"/>
    <n v="1851.89"/>
    <n v="15"/>
    <n v="18"/>
    <s v="Completed"/>
    <n v="62964.26"/>
    <n v="9444.639000000001"/>
    <n v="9633.5317799999993"/>
    <n v="63153.152779999997"/>
  </r>
  <r>
    <s v="ORD-1044"/>
    <x v="41"/>
    <x v="1"/>
    <x v="6"/>
    <s v="Clothing"/>
    <s v="Jacket"/>
    <x v="3"/>
    <n v="21"/>
    <n v="1330.14"/>
    <n v="0"/>
    <n v="18"/>
    <s v="Returned"/>
    <n v="27932.940000000002"/>
    <n v="0"/>
    <n v="5027.9292000000005"/>
    <n v="32960.869200000001"/>
  </r>
  <r>
    <s v="ORD-1045"/>
    <x v="42"/>
    <x v="1"/>
    <x v="7"/>
    <s v="Sports"/>
    <s v="Cycling Helmet"/>
    <x v="2"/>
    <n v="36"/>
    <n v="263.3"/>
    <n v="10"/>
    <n v="18"/>
    <s v="Completed"/>
    <n v="9478.8000000000011"/>
    <n v="947.88000000000011"/>
    <n v="1535.5656000000004"/>
    <n v="10066.485600000002"/>
  </r>
  <r>
    <s v="ORD-1046"/>
    <x v="43"/>
    <x v="0"/>
    <x v="5"/>
    <s v="Food &amp; Beverages"/>
    <s v="Organic Tea"/>
    <x v="1"/>
    <n v="19"/>
    <n v="428.26"/>
    <n v="15"/>
    <n v="18"/>
    <s v="Completed"/>
    <n v="8136.94"/>
    <n v="1220.5409999999999"/>
    <n v="1244.9518199999998"/>
    <n v="8161.3508199999997"/>
  </r>
  <r>
    <s v="ORD-1047"/>
    <x v="44"/>
    <x v="1"/>
    <x v="4"/>
    <s v="Furniture"/>
    <s v="Office Chair"/>
    <x v="0"/>
    <n v="31"/>
    <n v="1589.53"/>
    <n v="20"/>
    <n v="18"/>
    <s v="Returned"/>
    <n v="49275.43"/>
    <n v="9855.0859999999993"/>
    <n v="7095.6619199999996"/>
    <n v="46516.005919999996"/>
  </r>
  <r>
    <s v="ORD-1048"/>
    <x v="45"/>
    <x v="0"/>
    <x v="6"/>
    <s v="Electronics"/>
    <s v="Tablet"/>
    <x v="0"/>
    <n v="15"/>
    <n v="1615.06"/>
    <n v="0"/>
    <n v="18"/>
    <s v="Completed"/>
    <n v="24225.899999999998"/>
    <n v="0"/>
    <n v="4360.6619999999994"/>
    <n v="28586.561999999998"/>
  </r>
  <r>
    <s v="ORD-1049"/>
    <x v="46"/>
    <x v="1"/>
    <x v="6"/>
    <s v="Electronics"/>
    <s v="Smartphone"/>
    <x v="2"/>
    <n v="41"/>
    <n v="1155.5899999999999"/>
    <n v="20"/>
    <n v="18"/>
    <s v="Pending"/>
    <n v="47379.189999999995"/>
    <n v="9475.8379999999997"/>
    <n v="6822.6033600000001"/>
    <n v="44725.95536"/>
  </r>
  <r>
    <s v="ORD-1050"/>
    <x v="47"/>
    <x v="1"/>
    <x v="0"/>
    <s v="Food &amp; Beverages"/>
    <s v="Energy Bar"/>
    <x v="0"/>
    <n v="49"/>
    <n v="1722.28"/>
    <n v="0"/>
    <n v="18"/>
    <s v="Completed"/>
    <n v="84391.72"/>
    <n v="0"/>
    <n v="15190.509599999999"/>
    <n v="99582.229600000006"/>
  </r>
  <r>
    <s v="ORD-1051"/>
    <x v="48"/>
    <x v="1"/>
    <x v="1"/>
    <s v="Clothing"/>
    <s v="Jeans"/>
    <x v="0"/>
    <n v="30"/>
    <n v="275.33999999999997"/>
    <n v="10"/>
    <n v="18"/>
    <s v="Completed"/>
    <n v="8260.1999999999989"/>
    <n v="826.01999999999987"/>
    <n v="1338.1523999999999"/>
    <n v="8772.3323999999993"/>
  </r>
  <r>
    <s v="ORD-1052"/>
    <x v="49"/>
    <x v="0"/>
    <x v="4"/>
    <s v="Sports"/>
    <s v="Tennis Racket"/>
    <x v="2"/>
    <n v="29"/>
    <n v="1795.44"/>
    <n v="20"/>
    <n v="18"/>
    <s v="Returned"/>
    <n v="52067.76"/>
    <n v="10413.552000000001"/>
    <n v="7497.7574399999994"/>
    <n v="49151.96544"/>
  </r>
  <r>
    <s v="ORD-1053"/>
    <x v="23"/>
    <x v="2"/>
    <x v="3"/>
    <s v="Food &amp; Beverages"/>
    <s v="Protein Shake"/>
    <x v="2"/>
    <n v="18"/>
    <n v="885.35"/>
    <n v="20"/>
    <n v="18"/>
    <s v="Completed"/>
    <n v="15936.300000000001"/>
    <n v="3187.26"/>
    <n v="2294.8272000000002"/>
    <n v="15043.867200000001"/>
  </r>
  <r>
    <s v="ORD-1054"/>
    <x v="50"/>
    <x v="0"/>
    <x v="7"/>
    <s v="Clothing"/>
    <s v="Jacket"/>
    <x v="1"/>
    <n v="10"/>
    <n v="470.21"/>
    <n v="20"/>
    <n v="18"/>
    <s v="Completed"/>
    <n v="4702.0999999999995"/>
    <n v="940.41999999999985"/>
    <n v="677.10239999999988"/>
    <n v="4438.7823999999991"/>
  </r>
  <r>
    <s v="ORD-1055"/>
    <x v="51"/>
    <x v="1"/>
    <x v="5"/>
    <s v="Clothing"/>
    <s v="T-Shirt"/>
    <x v="3"/>
    <n v="30"/>
    <n v="837.39"/>
    <n v="0"/>
    <n v="18"/>
    <s v="Returned"/>
    <n v="25121.7"/>
    <n v="0"/>
    <n v="4521.9059999999999"/>
    <n v="29643.606"/>
  </r>
  <r>
    <s v="ORD-1056"/>
    <x v="52"/>
    <x v="3"/>
    <x v="5"/>
    <s v="Food &amp; Beverages"/>
    <s v="Juice Pack"/>
    <x v="2"/>
    <n v="23"/>
    <n v="604.24"/>
    <n v="10"/>
    <n v="18"/>
    <s v="Completed"/>
    <n v="13897.52"/>
    <n v="1389.7520000000002"/>
    <n v="2251.39824"/>
    <n v="14759.16624"/>
  </r>
  <r>
    <s v="ORD-1057"/>
    <x v="53"/>
    <x v="2"/>
    <x v="4"/>
    <s v="Sports"/>
    <s v="Tennis Racket"/>
    <x v="0"/>
    <n v="28"/>
    <n v="976.43"/>
    <n v="10"/>
    <n v="18"/>
    <s v="Completed"/>
    <n v="27340.039999999997"/>
    <n v="2734.0039999999995"/>
    <n v="4429.086479999999"/>
    <n v="29035.122479999995"/>
  </r>
  <r>
    <s v="ORD-1058"/>
    <x v="54"/>
    <x v="1"/>
    <x v="2"/>
    <s v="Food &amp; Beverages"/>
    <s v="Organic Tea"/>
    <x v="1"/>
    <n v="38"/>
    <n v="1133.1400000000001"/>
    <n v="0"/>
    <n v="18"/>
    <s v="Pending"/>
    <n v="43059.320000000007"/>
    <n v="0"/>
    <n v="7750.6776000000009"/>
    <n v="50809.99760000001"/>
  </r>
  <r>
    <s v="ORD-1059"/>
    <x v="55"/>
    <x v="1"/>
    <x v="2"/>
    <s v="Food &amp; Beverages"/>
    <s v="Organic Tea"/>
    <x v="1"/>
    <n v="25"/>
    <n v="661.43"/>
    <n v="10"/>
    <n v="18"/>
    <s v="Completed"/>
    <n v="16535.75"/>
    <n v="1653.575"/>
    <n v="2678.7914999999998"/>
    <n v="17560.966499999999"/>
  </r>
  <r>
    <s v="ORD-1060"/>
    <x v="56"/>
    <x v="0"/>
    <x v="5"/>
    <s v="Furniture"/>
    <s v="Office Chair"/>
    <x v="3"/>
    <n v="31"/>
    <n v="48.57"/>
    <n v="15"/>
    <n v="18"/>
    <s v="Completed"/>
    <n v="1505.67"/>
    <n v="225.85050000000004"/>
    <n v="230.36751000000001"/>
    <n v="1510.1870100000001"/>
  </r>
  <r>
    <s v="ORD-1061"/>
    <x v="50"/>
    <x v="3"/>
    <x v="1"/>
    <s v="Furniture"/>
    <s v="Dining Table"/>
    <x v="1"/>
    <n v="13"/>
    <n v="1680.07"/>
    <n v="15"/>
    <n v="18"/>
    <s v="Completed"/>
    <n v="21840.91"/>
    <n v="3276.1365000000001"/>
    <n v="3341.6592300000002"/>
    <n v="21906.43273"/>
  </r>
  <r>
    <s v="ORD-1062"/>
    <x v="57"/>
    <x v="1"/>
    <x v="6"/>
    <s v="Clothing"/>
    <s v="Jeans"/>
    <x v="0"/>
    <n v="45"/>
    <n v="519.91999999999996"/>
    <n v="5"/>
    <n v="18"/>
    <s v="Pending"/>
    <n v="23396.399999999998"/>
    <n v="1169.82"/>
    <n v="4000.7843999999996"/>
    <n v="26227.364399999999"/>
  </r>
  <r>
    <s v="ORD-1063"/>
    <x v="58"/>
    <x v="3"/>
    <x v="2"/>
    <s v="Sports"/>
    <s v="Tennis Racket"/>
    <x v="3"/>
    <n v="38"/>
    <n v="61.1"/>
    <n v="5"/>
    <n v="18"/>
    <s v="Completed"/>
    <n v="2321.8000000000002"/>
    <n v="116.09"/>
    <n v="397.02780000000001"/>
    <n v="2602.7377999999999"/>
  </r>
  <r>
    <s v="ORD-1064"/>
    <x v="59"/>
    <x v="2"/>
    <x v="6"/>
    <s v="Food &amp; Beverages"/>
    <s v="Energy Bar"/>
    <x v="0"/>
    <n v="45"/>
    <n v="1547.24"/>
    <n v="20"/>
    <n v="18"/>
    <s v="Completed"/>
    <n v="69625.8"/>
    <n v="13925.16"/>
    <n v="10026.1152"/>
    <n v="65726.7552"/>
  </r>
  <r>
    <s v="ORD-1065"/>
    <x v="60"/>
    <x v="3"/>
    <x v="7"/>
    <s v="Electronics"/>
    <s v="Smartwatch"/>
    <x v="2"/>
    <n v="5"/>
    <n v="1016.86"/>
    <n v="5"/>
    <n v="18"/>
    <s v="Completed"/>
    <n v="5084.3"/>
    <n v="254.215"/>
    <n v="869.4153"/>
    <n v="5699.5002999999997"/>
  </r>
  <r>
    <s v="ORD-1066"/>
    <x v="61"/>
    <x v="3"/>
    <x v="5"/>
    <s v="Food &amp; Beverages"/>
    <s v="Energy Bar"/>
    <x v="3"/>
    <n v="46"/>
    <n v="314.45"/>
    <n v="0"/>
    <n v="18"/>
    <s v="Pending"/>
    <n v="14464.699999999999"/>
    <n v="0"/>
    <n v="2603.6459999999997"/>
    <n v="17068.345999999998"/>
  </r>
  <r>
    <s v="ORD-1067"/>
    <x v="62"/>
    <x v="1"/>
    <x v="4"/>
    <s v="Furniture"/>
    <s v="Wardrobe"/>
    <x v="2"/>
    <n v="18"/>
    <n v="651.39"/>
    <n v="0"/>
    <n v="18"/>
    <s v="Returned"/>
    <n v="11725.02"/>
    <n v="0"/>
    <n v="2110.5036"/>
    <n v="13835.5236"/>
  </r>
  <r>
    <s v="ORD-1068"/>
    <x v="63"/>
    <x v="2"/>
    <x v="4"/>
    <s v="Furniture"/>
    <s v="Office Chair"/>
    <x v="2"/>
    <n v="2"/>
    <n v="993.67"/>
    <n v="5"/>
    <n v="18"/>
    <s v="Completed"/>
    <n v="1987.34"/>
    <n v="99.36699999999999"/>
    <n v="339.83513999999997"/>
    <n v="2227.8081400000001"/>
  </r>
  <r>
    <s v="ORD-1069"/>
    <x v="64"/>
    <x v="0"/>
    <x v="3"/>
    <s v="Food &amp; Beverages"/>
    <s v="Organic Tea"/>
    <x v="3"/>
    <n v="39"/>
    <n v="1405.36"/>
    <n v="5"/>
    <n v="18"/>
    <s v="Completed"/>
    <n v="54809.039999999994"/>
    <n v="2740.4519999999993"/>
    <n v="9372.34584"/>
    <n v="61440.933839999998"/>
  </r>
  <r>
    <s v="ORD-1070"/>
    <x v="65"/>
    <x v="2"/>
    <x v="6"/>
    <s v="Electronics"/>
    <s v="Smartwatch"/>
    <x v="0"/>
    <n v="32"/>
    <n v="1114.8"/>
    <n v="0"/>
    <n v="18"/>
    <s v="Pending"/>
    <n v="35673.599999999999"/>
    <n v="0"/>
    <n v="6421.2479999999996"/>
    <n v="42094.847999999998"/>
  </r>
  <r>
    <s v="ORD-1071"/>
    <x v="66"/>
    <x v="1"/>
    <x v="1"/>
    <s v="Food &amp; Beverages"/>
    <s v="Energy Bar"/>
    <x v="1"/>
    <n v="15"/>
    <n v="814.76"/>
    <n v="0"/>
    <n v="18"/>
    <s v="Completed"/>
    <n v="12221.4"/>
    <n v="0"/>
    <n v="2199.8519999999999"/>
    <n v="14421.252"/>
  </r>
  <r>
    <s v="ORD-1072"/>
    <x v="67"/>
    <x v="1"/>
    <x v="7"/>
    <s v="Sports"/>
    <s v="Cycling Helmet"/>
    <x v="2"/>
    <n v="22"/>
    <n v="710.1"/>
    <n v="10"/>
    <n v="18"/>
    <s v="Returned"/>
    <n v="15622.2"/>
    <n v="1562.22"/>
    <n v="2530.7964000000002"/>
    <n v="16590.776400000002"/>
  </r>
  <r>
    <s v="ORD-1073"/>
    <x v="68"/>
    <x v="2"/>
    <x v="6"/>
    <s v="Furniture"/>
    <s v="Bookshelf"/>
    <x v="0"/>
    <n v="8"/>
    <n v="1488.33"/>
    <n v="20"/>
    <n v="18"/>
    <s v="Completed"/>
    <n v="11906.64"/>
    <n v="2381.328"/>
    <n v="1714.5561600000001"/>
    <n v="11239.86816"/>
  </r>
  <r>
    <s v="ORD-1074"/>
    <x v="69"/>
    <x v="1"/>
    <x v="3"/>
    <s v="Clothing"/>
    <s v="Jeans"/>
    <x v="3"/>
    <n v="13"/>
    <n v="599.53"/>
    <n v="5"/>
    <n v="18"/>
    <s v="Completed"/>
    <n v="7793.8899999999994"/>
    <n v="389.69449999999995"/>
    <n v="1332.7551900000001"/>
    <n v="8736.9506899999997"/>
  </r>
  <r>
    <s v="ORD-1075"/>
    <x v="32"/>
    <x v="2"/>
    <x v="3"/>
    <s v="Furniture"/>
    <s v="Sofa"/>
    <x v="1"/>
    <n v="36"/>
    <n v="591.35"/>
    <n v="0"/>
    <n v="18"/>
    <s v="Completed"/>
    <n v="21288.600000000002"/>
    <n v="0"/>
    <n v="3831.9480000000003"/>
    <n v="25120.548000000003"/>
  </r>
  <r>
    <s v="ORD-1076"/>
    <x v="70"/>
    <x v="3"/>
    <x v="3"/>
    <s v="Food &amp; Beverages"/>
    <s v="Coffee Beans"/>
    <x v="2"/>
    <n v="29"/>
    <n v="688"/>
    <n v="0"/>
    <n v="18"/>
    <s v="Pending"/>
    <n v="19952"/>
    <n v="0"/>
    <n v="3591.36"/>
    <n v="23543.360000000001"/>
  </r>
  <r>
    <s v="ORD-1077"/>
    <x v="71"/>
    <x v="3"/>
    <x v="5"/>
    <s v="Food &amp; Beverages"/>
    <s v="Coffee Beans"/>
    <x v="2"/>
    <n v="37"/>
    <n v="1262.5999999999999"/>
    <n v="0"/>
    <n v="18"/>
    <s v="Completed"/>
    <n v="46716.2"/>
    <n v="0"/>
    <n v="8408.9159999999993"/>
    <n v="55125.115999999995"/>
  </r>
  <r>
    <s v="ORD-1078"/>
    <x v="72"/>
    <x v="0"/>
    <x v="6"/>
    <s v="Clothing"/>
    <s v="Sneakers"/>
    <x v="0"/>
    <n v="36"/>
    <n v="1531.24"/>
    <n v="15"/>
    <n v="18"/>
    <s v="Completed"/>
    <n v="55124.639999999999"/>
    <n v="8268.6959999999999"/>
    <n v="8434.0699200000017"/>
    <n v="55290.013920000005"/>
  </r>
  <r>
    <s v="ORD-1079"/>
    <x v="73"/>
    <x v="1"/>
    <x v="4"/>
    <s v="Sports"/>
    <s v="Dumbbells"/>
    <x v="2"/>
    <n v="38"/>
    <n v="1980.16"/>
    <n v="5"/>
    <n v="18"/>
    <s v="Completed"/>
    <n v="75246.080000000002"/>
    <n v="3762.3040000000001"/>
    <n v="12867.079679999999"/>
    <n v="84350.855679999993"/>
  </r>
  <r>
    <s v="ORD-1080"/>
    <x v="74"/>
    <x v="3"/>
    <x v="0"/>
    <s v="Sports"/>
    <s v="Yoga Mat"/>
    <x v="0"/>
    <n v="43"/>
    <n v="171.56"/>
    <n v="0"/>
    <n v="18"/>
    <s v="Completed"/>
    <n v="7377.08"/>
    <n v="0"/>
    <n v="1327.8743999999999"/>
    <n v="8704.9544000000005"/>
  </r>
  <r>
    <s v="ORD-1081"/>
    <x v="75"/>
    <x v="2"/>
    <x v="1"/>
    <s v="Sports"/>
    <s v="Yoga Mat"/>
    <x v="2"/>
    <n v="45"/>
    <n v="1191.68"/>
    <n v="5"/>
    <n v="18"/>
    <s v="Pending"/>
    <n v="53625.600000000006"/>
    <n v="2681.28"/>
    <n v="9169.977600000002"/>
    <n v="60114.297600000005"/>
  </r>
  <r>
    <s v="ORD-1082"/>
    <x v="76"/>
    <x v="0"/>
    <x v="4"/>
    <s v="Clothing"/>
    <s v="Jacket"/>
    <x v="1"/>
    <n v="17"/>
    <n v="1577.78"/>
    <n v="20"/>
    <n v="18"/>
    <s v="Completed"/>
    <n v="26822.26"/>
    <n v="5364.4519999999993"/>
    <n v="3862.4054399999995"/>
    <n v="25320.213439999996"/>
  </r>
  <r>
    <s v="ORD-1083"/>
    <x v="77"/>
    <x v="3"/>
    <x v="0"/>
    <s v="Clothing"/>
    <s v="Dress"/>
    <x v="0"/>
    <n v="10"/>
    <n v="152.11000000000001"/>
    <n v="0"/>
    <n v="18"/>
    <s v="Completed"/>
    <n v="1521.1000000000001"/>
    <n v="0"/>
    <n v="273.798"/>
    <n v="1794.8980000000001"/>
  </r>
  <r>
    <s v="ORD-1084"/>
    <x v="78"/>
    <x v="0"/>
    <x v="4"/>
    <s v="Sports"/>
    <s v="Tennis Racket"/>
    <x v="1"/>
    <n v="45"/>
    <n v="615.14"/>
    <n v="10"/>
    <n v="18"/>
    <s v="Pending"/>
    <n v="27681.3"/>
    <n v="2768.13"/>
    <n v="4484.3705999999993"/>
    <n v="29397.540599999997"/>
  </r>
  <r>
    <s v="ORD-1085"/>
    <x v="79"/>
    <x v="1"/>
    <x v="4"/>
    <s v="Sports"/>
    <s v="Tennis Racket"/>
    <x v="1"/>
    <n v="3"/>
    <n v="1779.95"/>
    <n v="20"/>
    <n v="18"/>
    <s v="Returned"/>
    <n v="5339.85"/>
    <n v="1067.97"/>
    <n v="768.9384"/>
    <n v="5040.8184000000001"/>
  </r>
  <r>
    <s v="ORD-1086"/>
    <x v="80"/>
    <x v="3"/>
    <x v="6"/>
    <s v="Sports"/>
    <s v="Cycling Helmet"/>
    <x v="0"/>
    <n v="38"/>
    <n v="1902.06"/>
    <n v="20"/>
    <n v="18"/>
    <s v="Returned"/>
    <n v="72278.28"/>
    <n v="14455.656000000001"/>
    <n v="10408.072319999999"/>
    <n v="68230.696319999988"/>
  </r>
  <r>
    <s v="ORD-1087"/>
    <x v="81"/>
    <x v="2"/>
    <x v="4"/>
    <s v="Sports"/>
    <s v="Yoga Mat"/>
    <x v="2"/>
    <n v="12"/>
    <n v="1993.92"/>
    <n v="10"/>
    <n v="18"/>
    <s v="Completed"/>
    <n v="23927.040000000001"/>
    <n v="2392.7040000000002"/>
    <n v="3876.18048"/>
    <n v="25410.516479999998"/>
  </r>
  <r>
    <s v="ORD-1088"/>
    <x v="82"/>
    <x v="1"/>
    <x v="7"/>
    <s v="Food &amp; Beverages"/>
    <s v="Coffee Beans"/>
    <x v="2"/>
    <n v="21"/>
    <n v="1343.57"/>
    <n v="0"/>
    <n v="18"/>
    <s v="Completed"/>
    <n v="28214.969999999998"/>
    <n v="0"/>
    <n v="5078.6945999999998"/>
    <n v="33293.664599999996"/>
  </r>
  <r>
    <s v="ORD-1089"/>
    <x v="83"/>
    <x v="0"/>
    <x v="5"/>
    <s v="Food &amp; Beverages"/>
    <s v="Energy Bar"/>
    <x v="1"/>
    <n v="6"/>
    <n v="635.89"/>
    <n v="5"/>
    <n v="18"/>
    <s v="Pending"/>
    <n v="3815.34"/>
    <n v="190.767"/>
    <n v="652.4231400000001"/>
    <n v="4276.9961400000002"/>
  </r>
  <r>
    <s v="ORD-1090"/>
    <x v="84"/>
    <x v="3"/>
    <x v="4"/>
    <s v="Food &amp; Beverages"/>
    <s v="Juice Pack"/>
    <x v="2"/>
    <n v="13"/>
    <n v="1041.69"/>
    <n v="15"/>
    <n v="18"/>
    <s v="Completed"/>
    <n v="13541.970000000001"/>
    <n v="2031.2955000000002"/>
    <n v="2071.9214099999999"/>
    <n v="13582.59591"/>
  </r>
  <r>
    <s v="ORD-1091"/>
    <x v="85"/>
    <x v="2"/>
    <x v="3"/>
    <s v="Food &amp; Beverages"/>
    <s v="Coffee Beans"/>
    <x v="0"/>
    <n v="29"/>
    <n v="1762.88"/>
    <n v="10"/>
    <n v="18"/>
    <s v="Completed"/>
    <n v="51123.520000000004"/>
    <n v="5112.3520000000008"/>
    <n v="8282.0102400000014"/>
    <n v="54293.178240000008"/>
  </r>
  <r>
    <s v="ORD-1092"/>
    <x v="86"/>
    <x v="2"/>
    <x v="2"/>
    <s v="Electronics"/>
    <s v="Smartwatch"/>
    <x v="3"/>
    <n v="1"/>
    <n v="1108.98"/>
    <n v="0"/>
    <n v="18"/>
    <s v="Returned"/>
    <n v="1108.98"/>
    <n v="0"/>
    <n v="199.6164"/>
    <n v="1308.5963999999999"/>
  </r>
  <r>
    <s v="ORD-1093"/>
    <x v="87"/>
    <x v="3"/>
    <x v="2"/>
    <s v="Electronics"/>
    <s v="Headphones"/>
    <x v="2"/>
    <n v="33"/>
    <n v="1413.77"/>
    <n v="10"/>
    <n v="18"/>
    <s v="Completed"/>
    <n v="46654.409999999996"/>
    <n v="4665.4409999999998"/>
    <n v="7558.0144199999995"/>
    <n v="49546.983419999997"/>
  </r>
  <r>
    <s v="ORD-1094"/>
    <x v="88"/>
    <x v="1"/>
    <x v="2"/>
    <s v="Food &amp; Beverages"/>
    <s v="Organic Tea"/>
    <x v="2"/>
    <n v="39"/>
    <n v="1021.4"/>
    <n v="0"/>
    <n v="18"/>
    <s v="Completed"/>
    <n v="39834.6"/>
    <n v="0"/>
    <n v="7170.2279999999992"/>
    <n v="47004.827999999994"/>
  </r>
  <r>
    <s v="ORD-1095"/>
    <x v="89"/>
    <x v="0"/>
    <x v="3"/>
    <s v="Furniture"/>
    <s v="Office Chair"/>
    <x v="1"/>
    <n v="47"/>
    <n v="604.13"/>
    <n v="15"/>
    <n v="18"/>
    <s v="Completed"/>
    <n v="28394.11"/>
    <n v="4259.1165000000001"/>
    <n v="4344.2988300000006"/>
    <n v="28479.29233"/>
  </r>
  <r>
    <s v="ORD-1096"/>
    <x v="90"/>
    <x v="1"/>
    <x v="4"/>
    <s v="Food &amp; Beverages"/>
    <s v="Organic Tea"/>
    <x v="3"/>
    <n v="36"/>
    <n v="1528.12"/>
    <n v="10"/>
    <n v="18"/>
    <s v="Completed"/>
    <n v="55012.319999999992"/>
    <n v="5501.232"/>
    <n v="8911.9958399999978"/>
    <n v="58423.083839999985"/>
  </r>
  <r>
    <s v="ORD-1097"/>
    <x v="91"/>
    <x v="2"/>
    <x v="5"/>
    <s v="Furniture"/>
    <s v="Dining Table"/>
    <x v="0"/>
    <n v="3"/>
    <n v="643.16999999999996"/>
    <n v="10"/>
    <n v="18"/>
    <s v="Pending"/>
    <n v="1929.5099999999998"/>
    <n v="192.95099999999999"/>
    <n v="312.58061999999995"/>
    <n v="2049.1396199999999"/>
  </r>
  <r>
    <s v="ORD-1098"/>
    <x v="28"/>
    <x v="2"/>
    <x v="4"/>
    <s v="Food &amp; Beverages"/>
    <s v="Energy Bar"/>
    <x v="1"/>
    <n v="33"/>
    <n v="1931.05"/>
    <n v="5"/>
    <n v="18"/>
    <s v="Completed"/>
    <n v="63724.65"/>
    <n v="3186.2325000000001"/>
    <n v="10896.915150000001"/>
    <n v="71435.332649999997"/>
  </r>
  <r>
    <s v="ORD-1099"/>
    <x v="92"/>
    <x v="1"/>
    <x v="1"/>
    <s v="Food &amp; Beverages"/>
    <s v="Coffee Beans"/>
    <x v="0"/>
    <n v="42"/>
    <n v="1940.21"/>
    <n v="0"/>
    <n v="18"/>
    <s v="Pending"/>
    <n v="81488.820000000007"/>
    <n v="0"/>
    <n v="14667.987600000002"/>
    <n v="96156.807600000015"/>
  </r>
  <r>
    <s v="ORD-1100"/>
    <x v="93"/>
    <x v="1"/>
    <x v="6"/>
    <s v="Furniture"/>
    <s v="Bookshelf"/>
    <x v="3"/>
    <n v="25"/>
    <n v="1908.74"/>
    <n v="20"/>
    <n v="18"/>
    <s v="Returned"/>
    <n v="47718.5"/>
    <n v="9543.7000000000007"/>
    <n v="6871.4639999999999"/>
    <n v="45046.264000000003"/>
  </r>
  <r>
    <s v="ORD-1101"/>
    <x v="94"/>
    <x v="3"/>
    <x v="0"/>
    <s v="Sports"/>
    <s v="Yoga Mat"/>
    <x v="3"/>
    <n v="48"/>
    <n v="189.85"/>
    <n v="0"/>
    <n v="18"/>
    <s v="Completed"/>
    <n v="9112.7999999999993"/>
    <n v="0"/>
    <n v="1640.3039999999999"/>
    <n v="10753.103999999999"/>
  </r>
  <r>
    <s v="ORD-1102"/>
    <x v="3"/>
    <x v="2"/>
    <x v="3"/>
    <s v="Electronics"/>
    <s v="Headphones"/>
    <x v="1"/>
    <n v="21"/>
    <n v="1594.33"/>
    <n v="5"/>
    <n v="18"/>
    <s v="Completed"/>
    <n v="33480.93"/>
    <n v="1674.0464999999999"/>
    <n v="5725.2390300000006"/>
    <n v="37532.122530000001"/>
  </r>
  <r>
    <s v="ORD-1103"/>
    <x v="95"/>
    <x v="2"/>
    <x v="0"/>
    <s v="Furniture"/>
    <s v="Office Chair"/>
    <x v="2"/>
    <n v="44"/>
    <n v="1587.11"/>
    <n v="0"/>
    <n v="18"/>
    <s v="Returned"/>
    <n v="69832.84"/>
    <n v="0"/>
    <n v="12569.911199999999"/>
    <n v="82402.751199999999"/>
  </r>
  <r>
    <s v="ORD-1104"/>
    <x v="96"/>
    <x v="1"/>
    <x v="0"/>
    <s v="Electronics"/>
    <s v="Smartwatch"/>
    <x v="2"/>
    <n v="10"/>
    <n v="472.06"/>
    <n v="20"/>
    <n v="18"/>
    <s v="Returned"/>
    <n v="4720.6000000000004"/>
    <n v="944.12"/>
    <n v="679.76640000000009"/>
    <n v="4456.2464000000009"/>
  </r>
  <r>
    <s v="ORD-1105"/>
    <x v="97"/>
    <x v="3"/>
    <x v="4"/>
    <s v="Food &amp; Beverages"/>
    <s v="Protein Shake"/>
    <x v="3"/>
    <n v="11"/>
    <n v="156.99"/>
    <n v="5"/>
    <n v="18"/>
    <s v="Returned"/>
    <n v="1726.89"/>
    <n v="86.344500000000011"/>
    <n v="295.29819000000003"/>
    <n v="1935.8436900000002"/>
  </r>
  <r>
    <s v="ORD-1106"/>
    <x v="98"/>
    <x v="0"/>
    <x v="4"/>
    <s v="Furniture"/>
    <s v="Office Chair"/>
    <x v="3"/>
    <n v="25"/>
    <n v="1708.14"/>
    <n v="0"/>
    <n v="18"/>
    <s v="Completed"/>
    <n v="42703.5"/>
    <n v="0"/>
    <n v="7686.63"/>
    <n v="50390.13"/>
  </r>
  <r>
    <s v="ORD-1107"/>
    <x v="99"/>
    <x v="0"/>
    <x v="3"/>
    <s v="Food &amp; Beverages"/>
    <s v="Juice Pack"/>
    <x v="3"/>
    <n v="43"/>
    <n v="797.65"/>
    <n v="0"/>
    <n v="18"/>
    <s v="Completed"/>
    <n v="34298.949999999997"/>
    <n v="0"/>
    <n v="6173.8109999999997"/>
    <n v="40472.760999999999"/>
  </r>
  <r>
    <s v="ORD-1108"/>
    <x v="100"/>
    <x v="1"/>
    <x v="3"/>
    <s v="Electronics"/>
    <s v="Smartwatch"/>
    <x v="0"/>
    <n v="23"/>
    <n v="445.82"/>
    <n v="0"/>
    <n v="18"/>
    <s v="Returned"/>
    <n v="10253.86"/>
    <n v="0"/>
    <n v="1845.6948000000002"/>
    <n v="12099.554800000002"/>
  </r>
  <r>
    <s v="ORD-1109"/>
    <x v="101"/>
    <x v="3"/>
    <x v="1"/>
    <s v="Furniture"/>
    <s v="Dining Table"/>
    <x v="3"/>
    <n v="3"/>
    <n v="1163.3499999999999"/>
    <n v="20"/>
    <n v="18"/>
    <s v="Pending"/>
    <n v="3490.0499999999997"/>
    <n v="698.01"/>
    <n v="502.56720000000001"/>
    <n v="3294.6071999999999"/>
  </r>
  <r>
    <s v="ORD-1110"/>
    <x v="102"/>
    <x v="0"/>
    <x v="5"/>
    <s v="Electronics"/>
    <s v="Tablet"/>
    <x v="0"/>
    <n v="9"/>
    <n v="1575.16"/>
    <n v="5"/>
    <n v="18"/>
    <s v="Completed"/>
    <n v="14176.44"/>
    <n v="708.822"/>
    <n v="2424.1712400000001"/>
    <n v="15891.78924"/>
  </r>
  <r>
    <s v="ORD-1111"/>
    <x v="103"/>
    <x v="2"/>
    <x v="3"/>
    <s v="Sports"/>
    <s v="Cycling Helmet"/>
    <x v="2"/>
    <n v="48"/>
    <n v="1742.09"/>
    <n v="0"/>
    <n v="18"/>
    <s v="Completed"/>
    <n v="83620.319999999992"/>
    <n v="0"/>
    <n v="15051.657599999999"/>
    <n v="98671.977599999984"/>
  </r>
  <r>
    <s v="ORD-1112"/>
    <x v="104"/>
    <x v="2"/>
    <x v="5"/>
    <s v="Electronics"/>
    <s v="Smartphone"/>
    <x v="3"/>
    <n v="26"/>
    <n v="37.700000000000003"/>
    <n v="15"/>
    <n v="18"/>
    <s v="Completed"/>
    <n v="980.2"/>
    <n v="147.03"/>
    <n v="149.97060000000002"/>
    <n v="983.14060000000006"/>
  </r>
  <r>
    <s v="ORD-1113"/>
    <x v="100"/>
    <x v="0"/>
    <x v="5"/>
    <s v="Food &amp; Beverages"/>
    <s v="Protein Shake"/>
    <x v="3"/>
    <n v="44"/>
    <n v="475.31"/>
    <n v="0"/>
    <n v="18"/>
    <s v="Completed"/>
    <n v="20913.64"/>
    <n v="0"/>
    <n v="3764.4552000000003"/>
    <n v="24678.0952"/>
  </r>
  <r>
    <s v="ORD-1114"/>
    <x v="105"/>
    <x v="2"/>
    <x v="6"/>
    <s v="Sports"/>
    <s v="Cycling Helmet"/>
    <x v="2"/>
    <n v="42"/>
    <n v="822.51"/>
    <n v="0"/>
    <n v="18"/>
    <s v="Completed"/>
    <n v="34545.42"/>
    <n v="0"/>
    <n v="6218.1755999999996"/>
    <n v="40763.595600000001"/>
  </r>
  <r>
    <s v="ORD-1115"/>
    <x v="106"/>
    <x v="1"/>
    <x v="6"/>
    <s v="Electronics"/>
    <s v="Tablet"/>
    <x v="1"/>
    <n v="35"/>
    <n v="279.97000000000003"/>
    <n v="10"/>
    <n v="18"/>
    <s v="Completed"/>
    <n v="9798.9500000000007"/>
    <n v="979.89499999999998"/>
    <n v="1587.4298999999999"/>
    <n v="10406.484899999999"/>
  </r>
  <r>
    <s v="ORD-1116"/>
    <x v="75"/>
    <x v="2"/>
    <x v="5"/>
    <s v="Sports"/>
    <s v="Running Shoes"/>
    <x v="1"/>
    <n v="40"/>
    <n v="822.15"/>
    <n v="5"/>
    <n v="18"/>
    <s v="Pending"/>
    <n v="32886"/>
    <n v="1644.3"/>
    <n v="5623.5059999999994"/>
    <n v="36865.205999999998"/>
  </r>
  <r>
    <s v="ORD-1117"/>
    <x v="107"/>
    <x v="1"/>
    <x v="4"/>
    <s v="Furniture"/>
    <s v="Dining Table"/>
    <x v="0"/>
    <n v="7"/>
    <n v="1962.05"/>
    <n v="5"/>
    <n v="18"/>
    <s v="Completed"/>
    <n v="13734.35"/>
    <n v="686.71749999999997"/>
    <n v="2348.5738500000002"/>
    <n v="15396.20635"/>
  </r>
  <r>
    <s v="ORD-1118"/>
    <x v="108"/>
    <x v="1"/>
    <x v="3"/>
    <s v="Furniture"/>
    <s v="Sofa"/>
    <x v="0"/>
    <n v="30"/>
    <n v="192.43"/>
    <n v="0"/>
    <n v="18"/>
    <s v="Completed"/>
    <n v="5772.9000000000005"/>
    <n v="0"/>
    <n v="1039.1220000000001"/>
    <n v="6812.0220000000008"/>
  </r>
  <r>
    <s v="ORD-1119"/>
    <x v="109"/>
    <x v="3"/>
    <x v="7"/>
    <s v="Sports"/>
    <s v="Yoga Mat"/>
    <x v="0"/>
    <n v="37"/>
    <n v="418.36"/>
    <n v="15"/>
    <n v="18"/>
    <s v="Completed"/>
    <n v="15479.32"/>
    <n v="2321.8979999999997"/>
    <n v="2368.3359600000003"/>
    <n v="15525.757960000001"/>
  </r>
  <r>
    <s v="ORD-1120"/>
    <x v="110"/>
    <x v="2"/>
    <x v="7"/>
    <s v="Sports"/>
    <s v="Dumbbells"/>
    <x v="0"/>
    <n v="1"/>
    <n v="561.78"/>
    <n v="0"/>
    <n v="18"/>
    <s v="Returned"/>
    <n v="561.78"/>
    <n v="0"/>
    <n v="101.12039999999999"/>
    <n v="662.90039999999999"/>
  </r>
  <r>
    <s v="ORD-1121"/>
    <x v="76"/>
    <x v="2"/>
    <x v="6"/>
    <s v="Sports"/>
    <s v="Cycling Helmet"/>
    <x v="1"/>
    <n v="1"/>
    <n v="722.9"/>
    <n v="0"/>
    <n v="18"/>
    <s v="Completed"/>
    <n v="722.9"/>
    <n v="0"/>
    <n v="130.12199999999999"/>
    <n v="853.02199999999993"/>
  </r>
  <r>
    <s v="ORD-1122"/>
    <x v="111"/>
    <x v="2"/>
    <x v="3"/>
    <s v="Furniture"/>
    <s v="Sofa"/>
    <x v="1"/>
    <n v="48"/>
    <n v="847.71"/>
    <n v="0"/>
    <n v="18"/>
    <s v="Completed"/>
    <n v="40690.080000000002"/>
    <n v="0"/>
    <n v="7324.2144000000008"/>
    <n v="48014.294399999999"/>
  </r>
  <r>
    <s v="ORD-1123"/>
    <x v="112"/>
    <x v="0"/>
    <x v="6"/>
    <s v="Food &amp; Beverages"/>
    <s v="Energy Bar"/>
    <x v="2"/>
    <n v="15"/>
    <n v="1891.38"/>
    <n v="0"/>
    <n v="18"/>
    <s v="Returned"/>
    <n v="28370.7"/>
    <n v="0"/>
    <n v="5106.7260000000006"/>
    <n v="33477.425999999999"/>
  </r>
  <r>
    <s v="ORD-1124"/>
    <x v="113"/>
    <x v="1"/>
    <x v="1"/>
    <s v="Sports"/>
    <s v="Cycling Helmet"/>
    <x v="1"/>
    <n v="26"/>
    <n v="858.28"/>
    <n v="0"/>
    <n v="18"/>
    <s v="Pending"/>
    <n v="22315.279999999999"/>
    <n v="0"/>
    <n v="4016.7503999999999"/>
    <n v="26332.0304"/>
  </r>
  <r>
    <s v="ORD-1125"/>
    <x v="114"/>
    <x v="3"/>
    <x v="7"/>
    <s v="Food &amp; Beverages"/>
    <s v="Coffee Beans"/>
    <x v="0"/>
    <n v="9"/>
    <n v="557.28"/>
    <n v="20"/>
    <n v="18"/>
    <s v="Completed"/>
    <n v="5015.5199999999995"/>
    <n v="1003.1039999999999"/>
    <n v="722.23487999999998"/>
    <n v="4734.6508799999992"/>
  </r>
  <r>
    <s v="ORD-1126"/>
    <x v="115"/>
    <x v="1"/>
    <x v="3"/>
    <s v="Sports"/>
    <s v="Cycling Helmet"/>
    <x v="2"/>
    <n v="39"/>
    <n v="866.1"/>
    <n v="20"/>
    <n v="18"/>
    <s v="Returned"/>
    <n v="33777.9"/>
    <n v="6755.58"/>
    <n v="4864.0176000000001"/>
    <n v="31886.337599999999"/>
  </r>
  <r>
    <s v="ORD-1127"/>
    <x v="116"/>
    <x v="1"/>
    <x v="4"/>
    <s v="Sports"/>
    <s v="Dumbbells"/>
    <x v="0"/>
    <n v="22"/>
    <n v="1656.56"/>
    <n v="10"/>
    <n v="18"/>
    <s v="Pending"/>
    <n v="36444.32"/>
    <n v="3644.4320000000002"/>
    <n v="5903.9798399999991"/>
    <n v="38703.867839999999"/>
  </r>
  <r>
    <s v="ORD-1128"/>
    <x v="17"/>
    <x v="1"/>
    <x v="7"/>
    <s v="Electronics"/>
    <s v="Tablet"/>
    <x v="3"/>
    <n v="10"/>
    <n v="1376.77"/>
    <n v="10"/>
    <n v="18"/>
    <s v="Completed"/>
    <n v="13767.7"/>
    <n v="1376.77"/>
    <n v="2230.3674000000001"/>
    <n v="14621.297399999999"/>
  </r>
  <r>
    <s v="ORD-1129"/>
    <x v="8"/>
    <x v="3"/>
    <x v="5"/>
    <s v="Electronics"/>
    <s v="Laptop"/>
    <x v="1"/>
    <n v="9"/>
    <n v="1117.18"/>
    <n v="15"/>
    <n v="18"/>
    <s v="Completed"/>
    <n v="10054.620000000001"/>
    <n v="1508.1930000000002"/>
    <n v="1538.3568599999999"/>
    <n v="10084.78386"/>
  </r>
  <r>
    <s v="ORD-1130"/>
    <x v="59"/>
    <x v="3"/>
    <x v="5"/>
    <s v="Sports"/>
    <s v="Cycling Helmet"/>
    <x v="3"/>
    <n v="47"/>
    <n v="112.38"/>
    <n v="5"/>
    <n v="18"/>
    <s v="Pending"/>
    <n v="5281.86"/>
    <n v="264.09300000000002"/>
    <n v="903.19805999999994"/>
    <n v="5920.9650599999995"/>
  </r>
  <r>
    <s v="ORD-1131"/>
    <x v="64"/>
    <x v="3"/>
    <x v="0"/>
    <s v="Furniture"/>
    <s v="Bookshelf"/>
    <x v="0"/>
    <n v="15"/>
    <n v="1696.08"/>
    <n v="5"/>
    <n v="18"/>
    <s v="Pending"/>
    <n v="25441.199999999997"/>
    <n v="1272.06"/>
    <n v="4350.4451999999992"/>
    <n v="28519.585199999994"/>
  </r>
  <r>
    <s v="ORD-1132"/>
    <x v="117"/>
    <x v="0"/>
    <x v="0"/>
    <s v="Furniture"/>
    <s v="Sofa"/>
    <x v="2"/>
    <n v="50"/>
    <n v="1638.67"/>
    <n v="15"/>
    <n v="18"/>
    <s v="Returned"/>
    <n v="81933.5"/>
    <n v="12290.025"/>
    <n v="12535.825500000001"/>
    <n v="82179.300500000012"/>
  </r>
  <r>
    <s v="ORD-1133"/>
    <x v="36"/>
    <x v="0"/>
    <x v="1"/>
    <s v="Sports"/>
    <s v="Yoga Mat"/>
    <x v="0"/>
    <n v="45"/>
    <n v="1527.19"/>
    <n v="5"/>
    <n v="18"/>
    <s v="Completed"/>
    <n v="68723.55"/>
    <n v="3436.1774999999998"/>
    <n v="11751.727050000001"/>
    <n v="77039.099550000014"/>
  </r>
  <r>
    <s v="ORD-1134"/>
    <x v="118"/>
    <x v="2"/>
    <x v="5"/>
    <s v="Electronics"/>
    <s v="Smartphone"/>
    <x v="1"/>
    <n v="48"/>
    <n v="1270.01"/>
    <n v="0"/>
    <n v="18"/>
    <s v="Completed"/>
    <n v="60960.479999999996"/>
    <n v="0"/>
    <n v="10972.886399999999"/>
    <n v="71933.366399999999"/>
  </r>
  <r>
    <s v="ORD-1135"/>
    <x v="119"/>
    <x v="1"/>
    <x v="5"/>
    <s v="Sports"/>
    <s v="Dumbbells"/>
    <x v="2"/>
    <n v="11"/>
    <n v="746.41"/>
    <n v="20"/>
    <n v="18"/>
    <s v="Completed"/>
    <n v="8210.51"/>
    <n v="1642.1020000000001"/>
    <n v="1182.3134400000001"/>
    <n v="7750.7214400000003"/>
  </r>
  <r>
    <s v="ORD-1136"/>
    <x v="25"/>
    <x v="3"/>
    <x v="1"/>
    <s v="Sports"/>
    <s v="Tennis Racket"/>
    <x v="0"/>
    <n v="49"/>
    <n v="1239.5"/>
    <n v="20"/>
    <n v="18"/>
    <s v="Completed"/>
    <n v="60735.5"/>
    <n v="12147.1"/>
    <n v="8745.9120000000003"/>
    <n v="57334.312000000005"/>
  </r>
  <r>
    <s v="ORD-1137"/>
    <x v="115"/>
    <x v="1"/>
    <x v="4"/>
    <s v="Furniture"/>
    <s v="Office Chair"/>
    <x v="2"/>
    <n v="18"/>
    <n v="438.98"/>
    <n v="15"/>
    <n v="18"/>
    <s v="Pending"/>
    <n v="7901.64"/>
    <n v="1185.2460000000001"/>
    <n v="1208.95092"/>
    <n v="7925.3449200000005"/>
  </r>
  <r>
    <s v="ORD-1138"/>
    <x v="120"/>
    <x v="3"/>
    <x v="3"/>
    <s v="Furniture"/>
    <s v="Office Chair"/>
    <x v="2"/>
    <n v="43"/>
    <n v="623.75"/>
    <n v="0"/>
    <n v="18"/>
    <s v="Returned"/>
    <n v="26821.25"/>
    <n v="0"/>
    <n v="4827.8249999999998"/>
    <n v="31649.075000000001"/>
  </r>
  <r>
    <s v="ORD-1139"/>
    <x v="121"/>
    <x v="3"/>
    <x v="0"/>
    <s v="Sports"/>
    <s v="Yoga Mat"/>
    <x v="3"/>
    <n v="50"/>
    <n v="283.10000000000002"/>
    <n v="5"/>
    <n v="18"/>
    <s v="Completed"/>
    <n v="14155.000000000002"/>
    <n v="707.75000000000011"/>
    <n v="2420.5050000000001"/>
    <n v="15867.755000000001"/>
  </r>
  <r>
    <s v="ORD-1140"/>
    <x v="122"/>
    <x v="3"/>
    <x v="4"/>
    <s v="Furniture"/>
    <s v="Sofa"/>
    <x v="2"/>
    <n v="9"/>
    <n v="766.61"/>
    <n v="20"/>
    <n v="18"/>
    <s v="Completed"/>
    <n v="6899.49"/>
    <n v="1379.8979999999999"/>
    <n v="993.5265599999999"/>
    <n v="6513.1185599999999"/>
  </r>
  <r>
    <s v="ORD-1141"/>
    <x v="123"/>
    <x v="0"/>
    <x v="6"/>
    <s v="Sports"/>
    <s v="Tennis Racket"/>
    <x v="2"/>
    <n v="28"/>
    <n v="47.3"/>
    <n v="0"/>
    <n v="18"/>
    <s v="Completed"/>
    <n v="1324.3999999999999"/>
    <n v="0"/>
    <n v="238.39199999999997"/>
    <n v="1562.7919999999999"/>
  </r>
  <r>
    <s v="ORD-1142"/>
    <x v="124"/>
    <x v="1"/>
    <x v="5"/>
    <s v="Sports"/>
    <s v="Running Shoes"/>
    <x v="3"/>
    <n v="26"/>
    <n v="51.5"/>
    <n v="5"/>
    <n v="18"/>
    <s v="Completed"/>
    <n v="1339"/>
    <n v="66.95"/>
    <n v="228.96899999999997"/>
    <n v="1501.019"/>
  </r>
  <r>
    <s v="ORD-1143"/>
    <x v="125"/>
    <x v="0"/>
    <x v="6"/>
    <s v="Sports"/>
    <s v="Running Shoes"/>
    <x v="2"/>
    <n v="16"/>
    <n v="877"/>
    <n v="10"/>
    <n v="18"/>
    <s v="Completed"/>
    <n v="14032"/>
    <n v="1403.2"/>
    <n v="2273.1839999999997"/>
    <n v="14901.983999999999"/>
  </r>
  <r>
    <s v="ORD-1144"/>
    <x v="94"/>
    <x v="0"/>
    <x v="7"/>
    <s v="Electronics"/>
    <s v="Headphones"/>
    <x v="0"/>
    <n v="50"/>
    <n v="344.58"/>
    <n v="15"/>
    <n v="18"/>
    <s v="Completed"/>
    <n v="17229"/>
    <n v="2584.35"/>
    <n v="2636.0370000000003"/>
    <n v="17280.686999999998"/>
  </r>
  <r>
    <s v="ORD-1145"/>
    <x v="126"/>
    <x v="2"/>
    <x v="7"/>
    <s v="Electronics"/>
    <s v="Smartwatch"/>
    <x v="3"/>
    <n v="16"/>
    <n v="214.58"/>
    <n v="5"/>
    <n v="18"/>
    <s v="Completed"/>
    <n v="3433.28"/>
    <n v="171.66400000000002"/>
    <n v="587.09088000000008"/>
    <n v="3848.7068800000002"/>
  </r>
  <r>
    <s v="ORD-1146"/>
    <x v="127"/>
    <x v="2"/>
    <x v="6"/>
    <s v="Clothing"/>
    <s v="Sneakers"/>
    <x v="0"/>
    <n v="30"/>
    <n v="1511.35"/>
    <n v="15"/>
    <n v="18"/>
    <s v="Pending"/>
    <n v="45340.5"/>
    <n v="6801.0749999999998"/>
    <n v="6937.0965000000006"/>
    <n v="45476.521500000003"/>
  </r>
  <r>
    <s v="ORD-1147"/>
    <x v="128"/>
    <x v="0"/>
    <x v="7"/>
    <s v="Sports"/>
    <s v="Tennis Racket"/>
    <x v="0"/>
    <n v="5"/>
    <n v="943.15"/>
    <n v="20"/>
    <n v="18"/>
    <s v="Pending"/>
    <n v="4715.75"/>
    <n v="943.15"/>
    <n v="679.06799999999998"/>
    <n v="4451.6679999999997"/>
  </r>
  <r>
    <s v="ORD-1148"/>
    <x v="129"/>
    <x v="3"/>
    <x v="7"/>
    <s v="Furniture"/>
    <s v="Wardrobe"/>
    <x v="1"/>
    <n v="30"/>
    <n v="909.31"/>
    <n v="0"/>
    <n v="18"/>
    <s v="Completed"/>
    <n v="27279.3"/>
    <n v="0"/>
    <n v="4910.2739999999994"/>
    <n v="32189.574000000001"/>
  </r>
  <r>
    <s v="ORD-1149"/>
    <x v="130"/>
    <x v="3"/>
    <x v="5"/>
    <s v="Furniture"/>
    <s v="Sofa"/>
    <x v="2"/>
    <n v="36"/>
    <n v="1908.92"/>
    <n v="20"/>
    <n v="18"/>
    <s v="Returned"/>
    <n v="68721.119999999995"/>
    <n v="13744.223999999998"/>
    <n v="9895.8412799999987"/>
    <n v="64872.737279999994"/>
  </r>
  <r>
    <s v="ORD-1150"/>
    <x v="131"/>
    <x v="2"/>
    <x v="7"/>
    <s v="Food &amp; Beverages"/>
    <s v="Juice Pack"/>
    <x v="2"/>
    <n v="10"/>
    <n v="1915.87"/>
    <n v="10"/>
    <n v="18"/>
    <s v="Returned"/>
    <n v="19158.699999999997"/>
    <n v="1915.8699999999997"/>
    <n v="3103.7093999999993"/>
    <n v="20346.539399999998"/>
  </r>
  <r>
    <s v="ORD-1151"/>
    <x v="2"/>
    <x v="2"/>
    <x v="1"/>
    <s v="Furniture"/>
    <s v="Sofa"/>
    <x v="0"/>
    <n v="29"/>
    <n v="1052.9000000000001"/>
    <n v="15"/>
    <n v="18"/>
    <s v="Pending"/>
    <n v="30534.100000000002"/>
    <n v="4580.1150000000007"/>
    <n v="4671.7173000000003"/>
    <n v="30625.702300000001"/>
  </r>
  <r>
    <s v="ORD-1152"/>
    <x v="132"/>
    <x v="0"/>
    <x v="5"/>
    <s v="Furniture"/>
    <s v="Bookshelf"/>
    <x v="2"/>
    <n v="44"/>
    <n v="1199.79"/>
    <n v="20"/>
    <n v="18"/>
    <s v="Completed"/>
    <n v="52790.759999999995"/>
    <n v="10558.152"/>
    <n v="7601.8694399999986"/>
    <n v="49834.477439999988"/>
  </r>
  <r>
    <s v="ORD-1153"/>
    <x v="133"/>
    <x v="0"/>
    <x v="6"/>
    <s v="Furniture"/>
    <s v="Sofa"/>
    <x v="2"/>
    <n v="17"/>
    <n v="1450.23"/>
    <n v="20"/>
    <n v="18"/>
    <s v="Completed"/>
    <n v="24653.91"/>
    <n v="4930.7820000000002"/>
    <n v="3550.1630399999999"/>
    <n v="23273.29104"/>
  </r>
  <r>
    <s v="ORD-1154"/>
    <x v="110"/>
    <x v="3"/>
    <x v="2"/>
    <s v="Clothing"/>
    <s v="Jacket"/>
    <x v="3"/>
    <n v="42"/>
    <n v="1399.98"/>
    <n v="10"/>
    <n v="18"/>
    <s v="Completed"/>
    <n v="58799.16"/>
    <n v="5879.9160000000011"/>
    <n v="9525.463920000002"/>
    <n v="62444.707920000008"/>
  </r>
  <r>
    <s v="ORD-1155"/>
    <x v="134"/>
    <x v="0"/>
    <x v="5"/>
    <s v="Sports"/>
    <s v="Yoga Mat"/>
    <x v="3"/>
    <n v="43"/>
    <n v="1408.63"/>
    <n v="20"/>
    <n v="18"/>
    <s v="Completed"/>
    <n v="60571.090000000004"/>
    <n v="12114.218000000001"/>
    <n v="8722.2369600000002"/>
    <n v="57179.108960000005"/>
  </r>
  <r>
    <s v="ORD-1156"/>
    <x v="135"/>
    <x v="1"/>
    <x v="7"/>
    <s v="Sports"/>
    <s v="Yoga Mat"/>
    <x v="1"/>
    <n v="20"/>
    <n v="368.72"/>
    <n v="0"/>
    <n v="18"/>
    <s v="Completed"/>
    <n v="7374.4000000000005"/>
    <n v="0"/>
    <n v="1327.3920000000001"/>
    <n v="8701.7920000000013"/>
  </r>
  <r>
    <s v="ORD-1157"/>
    <x v="136"/>
    <x v="2"/>
    <x v="2"/>
    <s v="Food &amp; Beverages"/>
    <s v="Organic Tea"/>
    <x v="0"/>
    <n v="19"/>
    <n v="1690.41"/>
    <n v="0"/>
    <n v="18"/>
    <s v="Completed"/>
    <n v="32117.79"/>
    <n v="0"/>
    <n v="5781.2021999999997"/>
    <n v="37898.992200000001"/>
  </r>
  <r>
    <s v="ORD-1158"/>
    <x v="137"/>
    <x v="3"/>
    <x v="7"/>
    <s v="Sports"/>
    <s v="Tennis Racket"/>
    <x v="0"/>
    <n v="25"/>
    <n v="316.95999999999998"/>
    <n v="0"/>
    <n v="18"/>
    <s v="Returned"/>
    <n v="7923.9999999999991"/>
    <n v="0"/>
    <n v="1426.3199999999997"/>
    <n v="9350.32"/>
  </r>
  <r>
    <s v="ORD-1159"/>
    <x v="138"/>
    <x v="1"/>
    <x v="1"/>
    <s v="Sports"/>
    <s v="Dumbbells"/>
    <x v="2"/>
    <n v="44"/>
    <n v="1441.98"/>
    <n v="10"/>
    <n v="18"/>
    <s v="Completed"/>
    <n v="63447.12"/>
    <n v="6344.7120000000004"/>
    <n v="10278.433440000001"/>
    <n v="67380.841440000004"/>
  </r>
  <r>
    <s v="ORD-1160"/>
    <x v="139"/>
    <x v="2"/>
    <x v="0"/>
    <s v="Furniture"/>
    <s v="Office Chair"/>
    <x v="3"/>
    <n v="13"/>
    <n v="742"/>
    <n v="15"/>
    <n v="18"/>
    <s v="Pending"/>
    <n v="9646"/>
    <n v="1446.9"/>
    <n v="1475.8380000000002"/>
    <n v="9674.9380000000001"/>
  </r>
  <r>
    <s v="ORD-1161"/>
    <x v="56"/>
    <x v="1"/>
    <x v="5"/>
    <s v="Food &amp; Beverages"/>
    <s v="Protein Shake"/>
    <x v="0"/>
    <n v="39"/>
    <n v="285.41000000000003"/>
    <n v="5"/>
    <n v="18"/>
    <s v="Completed"/>
    <n v="11130.990000000002"/>
    <n v="556.54950000000008"/>
    <n v="1903.3992900000001"/>
    <n v="12477.83979"/>
  </r>
  <r>
    <s v="ORD-1162"/>
    <x v="140"/>
    <x v="3"/>
    <x v="6"/>
    <s v="Food &amp; Beverages"/>
    <s v="Protein Shake"/>
    <x v="3"/>
    <n v="49"/>
    <n v="329.02"/>
    <n v="10"/>
    <n v="18"/>
    <s v="Completed"/>
    <n v="16121.98"/>
    <n v="1612.1979999999999"/>
    <n v="2611.7607600000001"/>
    <n v="17121.54276"/>
  </r>
  <r>
    <s v="ORD-1163"/>
    <x v="141"/>
    <x v="3"/>
    <x v="0"/>
    <s v="Clothing"/>
    <s v="Dress"/>
    <x v="2"/>
    <n v="2"/>
    <n v="835.64"/>
    <n v="10"/>
    <n v="18"/>
    <s v="Completed"/>
    <n v="1671.28"/>
    <n v="167.12799999999999"/>
    <n v="270.74736000000001"/>
    <n v="1774.8993600000001"/>
  </r>
  <r>
    <s v="ORD-1164"/>
    <x v="142"/>
    <x v="1"/>
    <x v="6"/>
    <s v="Furniture"/>
    <s v="Dining Table"/>
    <x v="3"/>
    <n v="2"/>
    <n v="644.17999999999995"/>
    <n v="0"/>
    <n v="18"/>
    <s v="Completed"/>
    <n v="1288.3599999999999"/>
    <n v="0"/>
    <n v="231.90479999999999"/>
    <n v="1520.2647999999999"/>
  </r>
  <r>
    <s v="ORD-1165"/>
    <x v="92"/>
    <x v="2"/>
    <x v="1"/>
    <s v="Furniture"/>
    <s v="Dining Table"/>
    <x v="3"/>
    <n v="45"/>
    <n v="1663.91"/>
    <n v="20"/>
    <n v="18"/>
    <s v="Pending"/>
    <n v="74875.95"/>
    <n v="14975.19"/>
    <n v="10782.1368"/>
    <n v="70682.896799999988"/>
  </r>
  <r>
    <s v="ORD-1166"/>
    <x v="143"/>
    <x v="3"/>
    <x v="6"/>
    <s v="Food &amp; Beverages"/>
    <s v="Juice Pack"/>
    <x v="1"/>
    <n v="14"/>
    <n v="1671.58"/>
    <n v="15"/>
    <n v="18"/>
    <s v="Completed"/>
    <n v="23402.12"/>
    <n v="3510.3179999999998"/>
    <n v="3580.5243599999999"/>
    <n v="23472.326359999999"/>
  </r>
  <r>
    <s v="ORD-1167"/>
    <x v="144"/>
    <x v="3"/>
    <x v="3"/>
    <s v="Sports"/>
    <s v="Running Shoes"/>
    <x v="0"/>
    <n v="8"/>
    <n v="105.02"/>
    <n v="10"/>
    <n v="18"/>
    <s v="Completed"/>
    <n v="840.16"/>
    <n v="84.016000000000005"/>
    <n v="136.10592"/>
    <n v="892.24991999999997"/>
  </r>
  <r>
    <s v="ORD-1168"/>
    <x v="58"/>
    <x v="3"/>
    <x v="6"/>
    <s v="Sports"/>
    <s v="Running Shoes"/>
    <x v="2"/>
    <n v="35"/>
    <n v="42.71"/>
    <n v="15"/>
    <n v="18"/>
    <s v="Returned"/>
    <n v="1494.8500000000001"/>
    <n v="224.22750000000005"/>
    <n v="228.71205"/>
    <n v="1499.3345500000003"/>
  </r>
  <r>
    <s v="ORD-1169"/>
    <x v="145"/>
    <x v="0"/>
    <x v="5"/>
    <s v="Clothing"/>
    <s v="Jeans"/>
    <x v="1"/>
    <n v="23"/>
    <n v="488.72"/>
    <n v="10"/>
    <n v="18"/>
    <s v="Returned"/>
    <n v="11240.560000000001"/>
    <n v="1124.056"/>
    <n v="1820.9707200000003"/>
    <n v="11937.474720000002"/>
  </r>
  <r>
    <s v="ORD-1170"/>
    <x v="146"/>
    <x v="0"/>
    <x v="6"/>
    <s v="Electronics"/>
    <s v="Smartwatch"/>
    <x v="1"/>
    <n v="31"/>
    <n v="96.63"/>
    <n v="10"/>
    <n v="18"/>
    <s v="Pending"/>
    <n v="2995.5299999999997"/>
    <n v="299.55299999999994"/>
    <n v="485.27585999999997"/>
    <n v="3181.2528599999996"/>
  </r>
  <r>
    <s v="ORD-1171"/>
    <x v="147"/>
    <x v="0"/>
    <x v="6"/>
    <s v="Furniture"/>
    <s v="Sofa"/>
    <x v="3"/>
    <n v="47"/>
    <n v="1317.64"/>
    <n v="0"/>
    <n v="18"/>
    <s v="Completed"/>
    <n v="61929.08"/>
    <n v="0"/>
    <n v="11147.234399999999"/>
    <n v="73076.314400000003"/>
  </r>
  <r>
    <s v="ORD-1172"/>
    <x v="148"/>
    <x v="3"/>
    <x v="7"/>
    <s v="Furniture"/>
    <s v="Dining Table"/>
    <x v="3"/>
    <n v="50"/>
    <n v="1372.52"/>
    <n v="20"/>
    <n v="18"/>
    <s v="Completed"/>
    <n v="68626"/>
    <n v="13725.2"/>
    <n v="9882.1440000000002"/>
    <n v="64782.944000000003"/>
  </r>
  <r>
    <s v="ORD-1173"/>
    <x v="130"/>
    <x v="3"/>
    <x v="4"/>
    <s v="Clothing"/>
    <s v="Jeans"/>
    <x v="1"/>
    <n v="13"/>
    <n v="97.17"/>
    <n v="0"/>
    <n v="18"/>
    <s v="Completed"/>
    <n v="1263.21"/>
    <n v="0"/>
    <n v="227.37779999999998"/>
    <n v="1490.5878"/>
  </r>
  <r>
    <s v="ORD-1174"/>
    <x v="149"/>
    <x v="1"/>
    <x v="4"/>
    <s v="Furniture"/>
    <s v="Bookshelf"/>
    <x v="3"/>
    <n v="49"/>
    <n v="1297.33"/>
    <n v="5"/>
    <n v="18"/>
    <s v="Completed"/>
    <n v="63569.17"/>
    <n v="3178.4584999999997"/>
    <n v="10870.32807"/>
    <n v="71261.039569999994"/>
  </r>
  <r>
    <s v="ORD-1175"/>
    <x v="150"/>
    <x v="0"/>
    <x v="6"/>
    <s v="Electronics"/>
    <s v="Tablet"/>
    <x v="3"/>
    <n v="26"/>
    <n v="1489.18"/>
    <n v="10"/>
    <n v="18"/>
    <s v="Pending"/>
    <n v="38718.68"/>
    <n v="3871.8679999999999"/>
    <n v="6272.4261599999991"/>
    <n v="41119.238159999994"/>
  </r>
  <r>
    <s v="ORD-1176"/>
    <x v="133"/>
    <x v="1"/>
    <x v="7"/>
    <s v="Clothing"/>
    <s v="Dress"/>
    <x v="3"/>
    <n v="47"/>
    <n v="854.75"/>
    <n v="10"/>
    <n v="18"/>
    <s v="Completed"/>
    <n v="40173.25"/>
    <n v="4017.3249999999998"/>
    <n v="6508.0664999999999"/>
    <n v="42663.991500000004"/>
  </r>
  <r>
    <s v="ORD-1177"/>
    <x v="151"/>
    <x v="0"/>
    <x v="7"/>
    <s v="Clothing"/>
    <s v="Sneakers"/>
    <x v="1"/>
    <n v="21"/>
    <n v="1325.23"/>
    <n v="5"/>
    <n v="18"/>
    <s v="Completed"/>
    <n v="27829.83"/>
    <n v="1391.4915000000003"/>
    <n v="4758.9009300000007"/>
    <n v="31197.239430000001"/>
  </r>
  <r>
    <s v="ORD-1178"/>
    <x v="152"/>
    <x v="2"/>
    <x v="4"/>
    <s v="Sports"/>
    <s v="Running Shoes"/>
    <x v="3"/>
    <n v="3"/>
    <n v="1456.36"/>
    <n v="5"/>
    <n v="18"/>
    <s v="Pending"/>
    <n v="4369.08"/>
    <n v="218.45400000000001"/>
    <n v="747.11268000000007"/>
    <n v="4897.7386800000004"/>
  </r>
  <r>
    <s v="ORD-1179"/>
    <x v="2"/>
    <x v="3"/>
    <x v="6"/>
    <s v="Food &amp; Beverages"/>
    <s v="Protein Shake"/>
    <x v="2"/>
    <n v="33"/>
    <n v="1604.18"/>
    <n v="20"/>
    <n v="18"/>
    <s v="Completed"/>
    <n v="52937.94"/>
    <n v="10587.588"/>
    <n v="7623.0633600000001"/>
    <n v="49973.415359999999"/>
  </r>
  <r>
    <s v="ORD-1180"/>
    <x v="153"/>
    <x v="1"/>
    <x v="1"/>
    <s v="Electronics"/>
    <s v="Smartphone"/>
    <x v="0"/>
    <n v="16"/>
    <n v="1559.25"/>
    <n v="5"/>
    <n v="18"/>
    <s v="Completed"/>
    <n v="24948"/>
    <n v="1247.4000000000001"/>
    <n v="4266.1080000000002"/>
    <n v="27966.707999999999"/>
  </r>
  <r>
    <s v="ORD-1181"/>
    <x v="154"/>
    <x v="3"/>
    <x v="2"/>
    <s v="Food &amp; Beverages"/>
    <s v="Juice Pack"/>
    <x v="2"/>
    <n v="24"/>
    <n v="893.44"/>
    <n v="0"/>
    <n v="18"/>
    <s v="Completed"/>
    <n v="21442.560000000001"/>
    <n v="0"/>
    <n v="3859.6608000000001"/>
    <n v="25302.220800000003"/>
  </r>
  <r>
    <s v="ORD-1182"/>
    <x v="145"/>
    <x v="0"/>
    <x v="5"/>
    <s v="Clothing"/>
    <s v="Sneakers"/>
    <x v="3"/>
    <n v="16"/>
    <n v="1921.43"/>
    <n v="0"/>
    <n v="18"/>
    <s v="Completed"/>
    <n v="30742.880000000001"/>
    <n v="0"/>
    <n v="5533.7183999999997"/>
    <n v="36276.598400000003"/>
  </r>
  <r>
    <s v="ORD-1183"/>
    <x v="23"/>
    <x v="1"/>
    <x v="6"/>
    <s v="Food &amp; Beverages"/>
    <s v="Juice Pack"/>
    <x v="3"/>
    <n v="46"/>
    <n v="898.08"/>
    <n v="15"/>
    <n v="18"/>
    <s v="Completed"/>
    <n v="41311.68"/>
    <n v="6196.7519999999995"/>
    <n v="6320.6870400000007"/>
    <n v="41435.615040000004"/>
  </r>
  <r>
    <s v="ORD-1184"/>
    <x v="62"/>
    <x v="3"/>
    <x v="2"/>
    <s v="Food &amp; Beverages"/>
    <s v="Organic Tea"/>
    <x v="1"/>
    <n v="12"/>
    <n v="1798.37"/>
    <n v="10"/>
    <n v="18"/>
    <s v="Pending"/>
    <n v="21580.44"/>
    <n v="2158.0439999999999"/>
    <n v="3496.0312800000002"/>
    <n v="22918.42728"/>
  </r>
  <r>
    <s v="ORD-1185"/>
    <x v="32"/>
    <x v="3"/>
    <x v="3"/>
    <s v="Furniture"/>
    <s v="Bookshelf"/>
    <x v="3"/>
    <n v="46"/>
    <n v="1422.03"/>
    <n v="20"/>
    <n v="18"/>
    <s v="Completed"/>
    <n v="65413.38"/>
    <n v="13082.675999999999"/>
    <n v="9419.5267199999998"/>
    <n v="61750.23072"/>
  </r>
  <r>
    <s v="ORD-1186"/>
    <x v="155"/>
    <x v="2"/>
    <x v="6"/>
    <s v="Clothing"/>
    <s v="Jacket"/>
    <x v="0"/>
    <n v="16"/>
    <n v="1582.84"/>
    <n v="0"/>
    <n v="18"/>
    <s v="Completed"/>
    <n v="25325.439999999999"/>
    <n v="0"/>
    <n v="4558.5792000000001"/>
    <n v="29884.019199999999"/>
  </r>
  <r>
    <s v="ORD-1187"/>
    <x v="148"/>
    <x v="0"/>
    <x v="4"/>
    <s v="Sports"/>
    <s v="Tennis Racket"/>
    <x v="0"/>
    <n v="6"/>
    <n v="140.84"/>
    <n v="10"/>
    <n v="18"/>
    <s v="Returned"/>
    <n v="845.04"/>
    <n v="84.503999999999991"/>
    <n v="136.89648"/>
    <n v="897.43247999999994"/>
  </r>
  <r>
    <s v="ORD-1188"/>
    <x v="156"/>
    <x v="1"/>
    <x v="6"/>
    <s v="Sports"/>
    <s v="Running Shoes"/>
    <x v="0"/>
    <n v="42"/>
    <n v="157.59"/>
    <n v="10"/>
    <n v="18"/>
    <s v="Completed"/>
    <n v="6618.78"/>
    <n v="661.87800000000004"/>
    <n v="1072.24236"/>
    <n v="7029.1443600000002"/>
  </r>
  <r>
    <s v="ORD-1189"/>
    <x v="104"/>
    <x v="2"/>
    <x v="2"/>
    <s v="Sports"/>
    <s v="Cycling Helmet"/>
    <x v="0"/>
    <n v="33"/>
    <n v="1822.32"/>
    <n v="0"/>
    <n v="18"/>
    <s v="Pending"/>
    <n v="60136.56"/>
    <n v="0"/>
    <n v="10824.580800000002"/>
    <n v="70961.140799999994"/>
  </r>
  <r>
    <s v="ORD-1190"/>
    <x v="29"/>
    <x v="0"/>
    <x v="2"/>
    <s v="Sports"/>
    <s v="Dumbbells"/>
    <x v="0"/>
    <n v="46"/>
    <n v="458.69"/>
    <n v="15"/>
    <n v="18"/>
    <s v="Completed"/>
    <n v="21099.74"/>
    <n v="3164.9610000000002"/>
    <n v="3228.2602200000006"/>
    <n v="21163.039220000002"/>
  </r>
  <r>
    <s v="ORD-1191"/>
    <x v="108"/>
    <x v="2"/>
    <x v="3"/>
    <s v="Electronics"/>
    <s v="Tablet"/>
    <x v="0"/>
    <n v="40"/>
    <n v="1071.6199999999999"/>
    <n v="15"/>
    <n v="18"/>
    <s v="Completed"/>
    <n v="42864.799999999996"/>
    <n v="6429.7199999999984"/>
    <n v="6558.3143999999993"/>
    <n v="42993.39439999999"/>
  </r>
  <r>
    <s v="ORD-1192"/>
    <x v="25"/>
    <x v="2"/>
    <x v="2"/>
    <s v="Clothing"/>
    <s v="Sneakers"/>
    <x v="3"/>
    <n v="3"/>
    <n v="1652.22"/>
    <n v="0"/>
    <n v="18"/>
    <s v="Returned"/>
    <n v="4956.66"/>
    <n v="0"/>
    <n v="892.19880000000001"/>
    <n v="5848.8588"/>
  </r>
  <r>
    <s v="ORD-1193"/>
    <x v="0"/>
    <x v="0"/>
    <x v="0"/>
    <s v="Electronics"/>
    <s v="Smartwatch"/>
    <x v="2"/>
    <n v="41"/>
    <n v="70.27"/>
    <n v="20"/>
    <n v="18"/>
    <s v="Returned"/>
    <n v="2881.0699999999997"/>
    <n v="576.21399999999994"/>
    <n v="414.87407999999994"/>
    <n v="2719.7300799999998"/>
  </r>
  <r>
    <s v="ORD-1194"/>
    <x v="157"/>
    <x v="1"/>
    <x v="0"/>
    <s v="Furniture"/>
    <s v="Bookshelf"/>
    <x v="2"/>
    <n v="30"/>
    <n v="155.22"/>
    <n v="0"/>
    <n v="18"/>
    <s v="Completed"/>
    <n v="4656.6000000000004"/>
    <n v="0"/>
    <n v="838.18799999999999"/>
    <n v="5494.7880000000005"/>
  </r>
  <r>
    <s v="ORD-1195"/>
    <x v="158"/>
    <x v="1"/>
    <x v="4"/>
    <s v="Food &amp; Beverages"/>
    <s v="Energy Bar"/>
    <x v="0"/>
    <n v="39"/>
    <n v="295.89999999999998"/>
    <n v="20"/>
    <n v="18"/>
    <s v="Completed"/>
    <n v="11540.099999999999"/>
    <n v="2308.0199999999995"/>
    <n v="1661.7743999999998"/>
    <n v="10893.854399999998"/>
  </r>
  <r>
    <s v="ORD-1196"/>
    <x v="159"/>
    <x v="2"/>
    <x v="7"/>
    <s v="Furniture"/>
    <s v="Office Chair"/>
    <x v="1"/>
    <n v="16"/>
    <n v="938.28"/>
    <n v="5"/>
    <n v="18"/>
    <s v="Completed"/>
    <n v="15012.48"/>
    <n v="750.62399999999991"/>
    <n v="2567.1340799999998"/>
    <n v="16828.99008"/>
  </r>
  <r>
    <s v="ORD-1197"/>
    <x v="55"/>
    <x v="3"/>
    <x v="1"/>
    <s v="Clothing"/>
    <s v="Jeans"/>
    <x v="3"/>
    <n v="40"/>
    <n v="842.09"/>
    <n v="0"/>
    <n v="18"/>
    <s v="Pending"/>
    <n v="33683.599999999999"/>
    <n v="0"/>
    <n v="6063.0479999999989"/>
    <n v="39746.648000000001"/>
  </r>
  <r>
    <s v="ORD-1198"/>
    <x v="160"/>
    <x v="2"/>
    <x v="2"/>
    <s v="Sports"/>
    <s v="Cycling Helmet"/>
    <x v="2"/>
    <n v="30"/>
    <n v="1002.53"/>
    <n v="5"/>
    <n v="18"/>
    <s v="Returned"/>
    <n v="30075.899999999998"/>
    <n v="1503.7950000000001"/>
    <n v="5142.9788999999992"/>
    <n v="33715.083899999998"/>
  </r>
  <r>
    <s v="ORD-1199"/>
    <x v="161"/>
    <x v="1"/>
    <x v="4"/>
    <s v="Electronics"/>
    <s v="Laptop"/>
    <x v="0"/>
    <n v="38"/>
    <n v="712.26"/>
    <n v="0"/>
    <n v="18"/>
    <s v="Completed"/>
    <n v="27065.88"/>
    <n v="0"/>
    <n v="4871.8584000000001"/>
    <n v="31937.738400000002"/>
  </r>
  <r>
    <s v="ORD-1200"/>
    <x v="162"/>
    <x v="1"/>
    <x v="3"/>
    <s v="Food &amp; Beverages"/>
    <s v="Juice Pack"/>
    <x v="1"/>
    <n v="28"/>
    <n v="276.52999999999997"/>
    <n v="5"/>
    <n v="18"/>
    <s v="Completed"/>
    <n v="7742.8399999999992"/>
    <n v="387.142"/>
    <n v="1324.0256399999998"/>
    <n v="8679.7236400000002"/>
  </r>
  <r>
    <s v="ORD-1201"/>
    <x v="163"/>
    <x v="3"/>
    <x v="5"/>
    <s v="Food &amp; Beverages"/>
    <s v="Protein Shake"/>
    <x v="1"/>
    <n v="36"/>
    <n v="397.36"/>
    <n v="15"/>
    <n v="18"/>
    <s v="Returned"/>
    <n v="14304.960000000001"/>
    <n v="2145.7440000000001"/>
    <n v="2188.65888"/>
    <n v="14347.874879999999"/>
  </r>
  <r>
    <s v="ORD-1202"/>
    <x v="164"/>
    <x v="1"/>
    <x v="3"/>
    <s v="Electronics"/>
    <s v="Headphones"/>
    <x v="1"/>
    <n v="7"/>
    <n v="793.87"/>
    <n v="5"/>
    <n v="18"/>
    <s v="Completed"/>
    <n v="5557.09"/>
    <n v="277.85450000000003"/>
    <n v="950.26238999999998"/>
    <n v="6229.4978899999996"/>
  </r>
  <r>
    <s v="ORD-1203"/>
    <x v="165"/>
    <x v="2"/>
    <x v="5"/>
    <s v="Furniture"/>
    <s v="Dining Table"/>
    <x v="1"/>
    <n v="3"/>
    <n v="282.7"/>
    <n v="5"/>
    <n v="18"/>
    <s v="Completed"/>
    <n v="848.09999999999991"/>
    <n v="42.405000000000001"/>
    <n v="145.02509999999998"/>
    <n v="950.72009999999989"/>
  </r>
  <r>
    <s v="ORD-1204"/>
    <x v="41"/>
    <x v="2"/>
    <x v="2"/>
    <s v="Sports"/>
    <s v="Running Shoes"/>
    <x v="3"/>
    <n v="21"/>
    <n v="333.38"/>
    <n v="15"/>
    <n v="18"/>
    <s v="Returned"/>
    <n v="7000.98"/>
    <n v="1050.1469999999999"/>
    <n v="1071.14994"/>
    <n v="7021.9829399999999"/>
  </r>
  <r>
    <s v="ORD-1205"/>
    <x v="166"/>
    <x v="1"/>
    <x v="3"/>
    <s v="Sports"/>
    <s v="Cycling Helmet"/>
    <x v="2"/>
    <n v="24"/>
    <n v="669.17"/>
    <n v="0"/>
    <n v="18"/>
    <s v="Completed"/>
    <n v="16060.079999999998"/>
    <n v="0"/>
    <n v="2890.8143999999993"/>
    <n v="18950.894399999997"/>
  </r>
  <r>
    <s v="ORD-1206"/>
    <x v="167"/>
    <x v="3"/>
    <x v="4"/>
    <s v="Sports"/>
    <s v="Cycling Helmet"/>
    <x v="3"/>
    <n v="37"/>
    <n v="462.81"/>
    <n v="0"/>
    <n v="18"/>
    <s v="Returned"/>
    <n v="17123.97"/>
    <n v="0"/>
    <n v="3082.3146000000002"/>
    <n v="20206.284600000003"/>
  </r>
  <r>
    <s v="ORD-1207"/>
    <x v="168"/>
    <x v="1"/>
    <x v="2"/>
    <s v="Food &amp; Beverages"/>
    <s v="Organic Tea"/>
    <x v="0"/>
    <n v="37"/>
    <n v="1896.93"/>
    <n v="0"/>
    <n v="18"/>
    <s v="Completed"/>
    <n v="70186.41"/>
    <n v="0"/>
    <n v="12633.553800000002"/>
    <n v="82819.963799999998"/>
  </r>
  <r>
    <s v="ORD-1208"/>
    <x v="169"/>
    <x v="0"/>
    <x v="5"/>
    <s v="Electronics"/>
    <s v="Headphones"/>
    <x v="0"/>
    <n v="45"/>
    <n v="415.74"/>
    <n v="15"/>
    <n v="18"/>
    <s v="Pending"/>
    <n v="18708.3"/>
    <n v="2806.2449999999999"/>
    <n v="2862.3698999999997"/>
    <n v="18764.424899999998"/>
  </r>
  <r>
    <s v="ORD-1209"/>
    <x v="170"/>
    <x v="2"/>
    <x v="0"/>
    <s v="Food &amp; Beverages"/>
    <s v="Coffee Beans"/>
    <x v="3"/>
    <n v="34"/>
    <n v="759.88"/>
    <n v="0"/>
    <n v="18"/>
    <s v="Pending"/>
    <n v="25835.919999999998"/>
    <n v="0"/>
    <n v="4650.4655999999995"/>
    <n v="30486.385599999998"/>
  </r>
  <r>
    <s v="ORD-1210"/>
    <x v="86"/>
    <x v="0"/>
    <x v="3"/>
    <s v="Sports"/>
    <s v="Cycling Helmet"/>
    <x v="2"/>
    <n v="16"/>
    <n v="565.22"/>
    <n v="5"/>
    <n v="18"/>
    <s v="Completed"/>
    <n v="9043.52"/>
    <n v="452.17600000000004"/>
    <n v="1546.4419200000002"/>
    <n v="10137.785920000002"/>
  </r>
  <r>
    <s v="ORD-1211"/>
    <x v="171"/>
    <x v="2"/>
    <x v="4"/>
    <s v="Furniture"/>
    <s v="Bookshelf"/>
    <x v="3"/>
    <n v="23"/>
    <n v="1125.3699999999999"/>
    <n v="20"/>
    <n v="18"/>
    <s v="Pending"/>
    <n v="25883.51"/>
    <n v="5176.7019999999993"/>
    <n v="3727.2254399999993"/>
    <n v="24434.033439999996"/>
  </r>
  <r>
    <s v="ORD-1212"/>
    <x v="4"/>
    <x v="1"/>
    <x v="5"/>
    <s v="Furniture"/>
    <s v="Sofa"/>
    <x v="3"/>
    <n v="19"/>
    <n v="93.71"/>
    <n v="20"/>
    <n v="18"/>
    <s v="Completed"/>
    <n v="1780.4899999999998"/>
    <n v="356.09799999999996"/>
    <n v="256.39055999999999"/>
    <n v="1680.7825599999999"/>
  </r>
  <r>
    <s v="ORD-1213"/>
    <x v="46"/>
    <x v="0"/>
    <x v="4"/>
    <s v="Furniture"/>
    <s v="Office Chair"/>
    <x v="0"/>
    <n v="35"/>
    <n v="549.54999999999995"/>
    <n v="15"/>
    <n v="18"/>
    <s v="Completed"/>
    <n v="19234.25"/>
    <n v="2885.1374999999998"/>
    <n v="2942.8402499999997"/>
    <n v="19291.95275"/>
  </r>
  <r>
    <s v="ORD-1214"/>
    <x v="32"/>
    <x v="3"/>
    <x v="0"/>
    <s v="Furniture"/>
    <s v="Dining Table"/>
    <x v="0"/>
    <n v="43"/>
    <n v="1811.32"/>
    <n v="0"/>
    <n v="18"/>
    <s v="Completed"/>
    <n v="77886.759999999995"/>
    <n v="0"/>
    <n v="14019.6168"/>
    <n v="91906.376799999998"/>
  </r>
  <r>
    <s v="ORD-1215"/>
    <x v="172"/>
    <x v="3"/>
    <x v="5"/>
    <s v="Clothing"/>
    <s v="T-Shirt"/>
    <x v="3"/>
    <n v="7"/>
    <n v="1365.57"/>
    <n v="0"/>
    <n v="18"/>
    <s v="Pending"/>
    <n v="9558.99"/>
    <n v="0"/>
    <n v="1720.6182000000001"/>
    <n v="11279.608200000001"/>
  </r>
  <r>
    <s v="ORD-1216"/>
    <x v="23"/>
    <x v="1"/>
    <x v="4"/>
    <s v="Sports"/>
    <s v="Dumbbells"/>
    <x v="2"/>
    <n v="49"/>
    <n v="1928.19"/>
    <n v="5"/>
    <n v="18"/>
    <s v="Completed"/>
    <n v="94481.31"/>
    <n v="4724.0654999999997"/>
    <n v="16156.30401"/>
    <n v="105913.54850999999"/>
  </r>
  <r>
    <s v="ORD-1217"/>
    <x v="173"/>
    <x v="2"/>
    <x v="1"/>
    <s v="Electronics"/>
    <s v="Laptop"/>
    <x v="0"/>
    <n v="12"/>
    <n v="1868.51"/>
    <n v="0"/>
    <n v="18"/>
    <s v="Pending"/>
    <n v="22422.12"/>
    <n v="0"/>
    <n v="4035.9815999999996"/>
    <n v="26458.101599999998"/>
  </r>
  <r>
    <s v="ORD-1218"/>
    <x v="29"/>
    <x v="0"/>
    <x v="1"/>
    <s v="Food &amp; Beverages"/>
    <s v="Organic Tea"/>
    <x v="1"/>
    <n v="37"/>
    <n v="1209.54"/>
    <n v="5"/>
    <n v="18"/>
    <s v="Completed"/>
    <n v="44752.979999999996"/>
    <n v="2237.6489999999994"/>
    <n v="7652.7595799999999"/>
    <n v="50168.090579999996"/>
  </r>
  <r>
    <s v="ORD-1219"/>
    <x v="34"/>
    <x v="1"/>
    <x v="2"/>
    <s v="Food &amp; Beverages"/>
    <s v="Juice Pack"/>
    <x v="2"/>
    <n v="13"/>
    <n v="1619.54"/>
    <n v="5"/>
    <n v="18"/>
    <s v="Completed"/>
    <n v="21054.02"/>
    <n v="1052.701"/>
    <n v="3600.2374199999995"/>
    <n v="23601.556420000001"/>
  </r>
  <r>
    <s v="ORD-1220"/>
    <x v="95"/>
    <x v="2"/>
    <x v="1"/>
    <s v="Food &amp; Beverages"/>
    <s v="Protein Shake"/>
    <x v="3"/>
    <n v="37"/>
    <n v="1352.06"/>
    <n v="0"/>
    <n v="18"/>
    <s v="Completed"/>
    <n v="50026.22"/>
    <n v="0"/>
    <n v="9004.7196000000004"/>
    <n v="59030.939599999998"/>
  </r>
  <r>
    <s v="ORD-1221"/>
    <x v="174"/>
    <x v="1"/>
    <x v="7"/>
    <s v="Sports"/>
    <s v="Running Shoes"/>
    <x v="1"/>
    <n v="43"/>
    <n v="199.82"/>
    <n v="0"/>
    <n v="18"/>
    <s v="Pending"/>
    <n v="8592.26"/>
    <n v="0"/>
    <n v="1546.6068"/>
    <n v="10138.8668"/>
  </r>
  <r>
    <s v="ORD-1222"/>
    <x v="175"/>
    <x v="3"/>
    <x v="3"/>
    <s v="Furniture"/>
    <s v="Dining Table"/>
    <x v="2"/>
    <n v="29"/>
    <n v="1509.98"/>
    <n v="5"/>
    <n v="18"/>
    <s v="Completed"/>
    <n v="43789.42"/>
    <n v="2189.4709999999995"/>
    <n v="7487.9908200000009"/>
    <n v="49087.93982"/>
  </r>
  <r>
    <s v="ORD-1223"/>
    <x v="77"/>
    <x v="3"/>
    <x v="3"/>
    <s v="Sports"/>
    <s v="Tennis Racket"/>
    <x v="3"/>
    <n v="4"/>
    <n v="1338.89"/>
    <n v="10"/>
    <n v="18"/>
    <s v="Completed"/>
    <n v="5355.56"/>
    <n v="535.55600000000004"/>
    <n v="867.60072000000014"/>
    <n v="5687.6047200000012"/>
  </r>
  <r>
    <s v="ORD-1224"/>
    <x v="174"/>
    <x v="0"/>
    <x v="6"/>
    <s v="Clothing"/>
    <s v="Dress"/>
    <x v="3"/>
    <n v="40"/>
    <n v="449.49"/>
    <n v="0"/>
    <n v="18"/>
    <s v="Completed"/>
    <n v="17979.599999999999"/>
    <n v="0"/>
    <n v="3236.328"/>
    <n v="21215.928"/>
  </r>
  <r>
    <s v="ORD-1225"/>
    <x v="156"/>
    <x v="0"/>
    <x v="5"/>
    <s v="Clothing"/>
    <s v="Dress"/>
    <x v="2"/>
    <n v="43"/>
    <n v="1652.95"/>
    <n v="0"/>
    <n v="18"/>
    <s v="Returned"/>
    <n v="71076.850000000006"/>
    <n v="0"/>
    <n v="12793.833000000001"/>
    <n v="83870.683000000005"/>
  </r>
  <r>
    <s v="ORD-1226"/>
    <x v="31"/>
    <x v="1"/>
    <x v="7"/>
    <s v="Sports"/>
    <s v="Yoga Mat"/>
    <x v="1"/>
    <n v="8"/>
    <n v="132.9"/>
    <n v="15"/>
    <n v="18"/>
    <s v="Returned"/>
    <n v="1063.2"/>
    <n v="159.47999999999999"/>
    <n v="162.6696"/>
    <n v="1066.3896"/>
  </r>
  <r>
    <s v="ORD-1227"/>
    <x v="167"/>
    <x v="2"/>
    <x v="2"/>
    <s v="Clothing"/>
    <s v="Sneakers"/>
    <x v="3"/>
    <n v="29"/>
    <n v="241.32"/>
    <n v="0"/>
    <n v="18"/>
    <s v="Returned"/>
    <n v="6998.28"/>
    <n v="0"/>
    <n v="1259.6904"/>
    <n v="8257.9704000000002"/>
  </r>
  <r>
    <s v="ORD-1228"/>
    <x v="176"/>
    <x v="1"/>
    <x v="1"/>
    <s v="Food &amp; Beverages"/>
    <s v="Coffee Beans"/>
    <x v="2"/>
    <n v="33"/>
    <n v="836.69"/>
    <n v="15"/>
    <n v="18"/>
    <s v="Completed"/>
    <n v="27610.77"/>
    <n v="4141.6154999999999"/>
    <n v="4224.4478100000006"/>
    <n v="27693.602310000002"/>
  </r>
  <r>
    <s v="ORD-1229"/>
    <x v="177"/>
    <x v="0"/>
    <x v="1"/>
    <s v="Sports"/>
    <s v="Running Shoes"/>
    <x v="2"/>
    <n v="1"/>
    <n v="1494.15"/>
    <n v="15"/>
    <n v="18"/>
    <s v="Completed"/>
    <n v="1494.15"/>
    <n v="224.1225"/>
    <n v="228.60495000000003"/>
    <n v="1498.6324500000001"/>
  </r>
  <r>
    <s v="ORD-1230"/>
    <x v="178"/>
    <x v="0"/>
    <x v="6"/>
    <s v="Electronics"/>
    <s v="Headphones"/>
    <x v="1"/>
    <n v="31"/>
    <n v="73.150000000000006"/>
    <n v="10"/>
    <n v="18"/>
    <s v="Completed"/>
    <n v="2267.65"/>
    <n v="226.76499999999999"/>
    <n v="367.35930000000008"/>
    <n v="2408.2443000000003"/>
  </r>
  <r>
    <s v="ORD-1231"/>
    <x v="179"/>
    <x v="0"/>
    <x v="5"/>
    <s v="Clothing"/>
    <s v="Dress"/>
    <x v="2"/>
    <n v="25"/>
    <n v="169.7"/>
    <n v="20"/>
    <n v="18"/>
    <s v="Pending"/>
    <n v="4242.5"/>
    <n v="848.5"/>
    <n v="610.91999999999996"/>
    <n v="4004.92"/>
  </r>
  <r>
    <s v="ORD-1232"/>
    <x v="180"/>
    <x v="3"/>
    <x v="2"/>
    <s v="Clothing"/>
    <s v="Jacket"/>
    <x v="2"/>
    <n v="9"/>
    <n v="1458.44"/>
    <n v="0"/>
    <n v="18"/>
    <s v="Returned"/>
    <n v="13125.960000000001"/>
    <n v="0"/>
    <n v="2362.6728000000003"/>
    <n v="15488.632800000001"/>
  </r>
  <r>
    <s v="ORD-1233"/>
    <x v="181"/>
    <x v="1"/>
    <x v="5"/>
    <s v="Electronics"/>
    <s v="Tablet"/>
    <x v="2"/>
    <n v="16"/>
    <n v="926.64"/>
    <n v="0"/>
    <n v="18"/>
    <s v="Completed"/>
    <n v="14826.24"/>
    <n v="0"/>
    <n v="2668.7231999999999"/>
    <n v="17494.963199999998"/>
  </r>
  <r>
    <s v="ORD-1234"/>
    <x v="182"/>
    <x v="3"/>
    <x v="5"/>
    <s v="Clothing"/>
    <s v="T-Shirt"/>
    <x v="1"/>
    <n v="14"/>
    <n v="143.91"/>
    <n v="15"/>
    <n v="18"/>
    <s v="Completed"/>
    <n v="2014.74"/>
    <n v="302.21100000000001"/>
    <n v="308.25522000000001"/>
    <n v="2020.78422"/>
  </r>
  <r>
    <s v="ORD-1235"/>
    <x v="183"/>
    <x v="3"/>
    <x v="0"/>
    <s v="Food &amp; Beverages"/>
    <s v="Juice Pack"/>
    <x v="1"/>
    <n v="29"/>
    <n v="476.34"/>
    <n v="0"/>
    <n v="18"/>
    <s v="Pending"/>
    <n v="13813.859999999999"/>
    <n v="0"/>
    <n v="2486.4947999999999"/>
    <n v="16300.354799999999"/>
  </r>
  <r>
    <s v="ORD-1236"/>
    <x v="98"/>
    <x v="0"/>
    <x v="0"/>
    <s v="Clothing"/>
    <s v="Sneakers"/>
    <x v="3"/>
    <n v="39"/>
    <n v="1547.35"/>
    <n v="5"/>
    <n v="18"/>
    <s v="Returned"/>
    <n v="60346.649999999994"/>
    <n v="3017.3325"/>
    <n v="10319.27715"/>
    <n v="67648.594649999999"/>
  </r>
  <r>
    <s v="ORD-1237"/>
    <x v="95"/>
    <x v="2"/>
    <x v="5"/>
    <s v="Furniture"/>
    <s v="Dining Table"/>
    <x v="3"/>
    <n v="4"/>
    <n v="1117.8699999999999"/>
    <n v="15"/>
    <n v="18"/>
    <s v="Completed"/>
    <n v="4471.4799999999996"/>
    <n v="670.72199999999998"/>
    <n v="684.13643999999999"/>
    <n v="4484.89444"/>
  </r>
  <r>
    <s v="ORD-1238"/>
    <x v="184"/>
    <x v="1"/>
    <x v="1"/>
    <s v="Food &amp; Beverages"/>
    <s v="Juice Pack"/>
    <x v="3"/>
    <n v="34"/>
    <n v="644.28"/>
    <n v="10"/>
    <n v="18"/>
    <s v="Pending"/>
    <n v="21905.52"/>
    <n v="2190.5520000000001"/>
    <n v="3548.6942399999998"/>
    <n v="23263.662240000001"/>
  </r>
  <r>
    <s v="ORD-1239"/>
    <x v="185"/>
    <x v="1"/>
    <x v="2"/>
    <s v="Clothing"/>
    <s v="Jacket"/>
    <x v="2"/>
    <n v="15"/>
    <n v="608.47"/>
    <n v="20"/>
    <n v="18"/>
    <s v="Completed"/>
    <n v="9127.0500000000011"/>
    <n v="1825.4100000000003"/>
    <n v="1314.2952000000002"/>
    <n v="8615.9352000000017"/>
  </r>
  <r>
    <s v="ORD-1240"/>
    <x v="132"/>
    <x v="1"/>
    <x v="5"/>
    <s v="Food &amp; Beverages"/>
    <s v="Coffee Beans"/>
    <x v="0"/>
    <n v="16"/>
    <n v="517.44000000000005"/>
    <n v="5"/>
    <n v="18"/>
    <s v="Pending"/>
    <n v="8279.0400000000009"/>
    <n v="413.95200000000006"/>
    <n v="1415.7158400000001"/>
    <n v="9280.8038400000005"/>
  </r>
  <r>
    <s v="ORD-1241"/>
    <x v="133"/>
    <x v="0"/>
    <x v="6"/>
    <s v="Electronics"/>
    <s v="Headphones"/>
    <x v="0"/>
    <n v="18"/>
    <n v="760.56"/>
    <n v="15"/>
    <n v="18"/>
    <s v="Completed"/>
    <n v="13690.079999999998"/>
    <n v="2053.5119999999997"/>
    <n v="2094.5822399999997"/>
    <n v="13731.150239999999"/>
  </r>
  <r>
    <s v="ORD-1242"/>
    <x v="7"/>
    <x v="2"/>
    <x v="0"/>
    <s v="Electronics"/>
    <s v="Laptop"/>
    <x v="2"/>
    <n v="22"/>
    <n v="613.34"/>
    <n v="0"/>
    <n v="18"/>
    <s v="Completed"/>
    <n v="13493.480000000001"/>
    <n v="0"/>
    <n v="2428.8263999999999"/>
    <n v="15922.306400000001"/>
  </r>
  <r>
    <s v="ORD-1243"/>
    <x v="186"/>
    <x v="1"/>
    <x v="0"/>
    <s v="Clothing"/>
    <s v="T-Shirt"/>
    <x v="0"/>
    <n v="16"/>
    <n v="1108.6400000000001"/>
    <n v="5"/>
    <n v="18"/>
    <s v="Pending"/>
    <n v="17738.240000000002"/>
    <n v="886.91200000000015"/>
    <n v="3033.2390400000004"/>
    <n v="19884.567040000002"/>
  </r>
  <r>
    <s v="ORD-1244"/>
    <x v="187"/>
    <x v="0"/>
    <x v="3"/>
    <s v="Food &amp; Beverages"/>
    <s v="Juice Pack"/>
    <x v="3"/>
    <n v="33"/>
    <n v="1766.8"/>
    <n v="10"/>
    <n v="18"/>
    <s v="Completed"/>
    <n v="58304.4"/>
    <n v="5830.44"/>
    <n v="9445.3127999999997"/>
    <n v="61919.272799999999"/>
  </r>
  <r>
    <s v="ORD-1245"/>
    <x v="188"/>
    <x v="2"/>
    <x v="7"/>
    <s v="Food &amp; Beverages"/>
    <s v="Protein Shake"/>
    <x v="3"/>
    <n v="3"/>
    <n v="1129.42"/>
    <n v="0"/>
    <n v="18"/>
    <s v="Pending"/>
    <n v="3388.26"/>
    <n v="0"/>
    <n v="609.88680000000011"/>
    <n v="3998.1468000000004"/>
  </r>
  <r>
    <s v="ORD-1246"/>
    <x v="189"/>
    <x v="1"/>
    <x v="3"/>
    <s v="Electronics"/>
    <s v="Tablet"/>
    <x v="0"/>
    <n v="22"/>
    <n v="467.74"/>
    <n v="15"/>
    <n v="18"/>
    <s v="Completed"/>
    <n v="10290.280000000001"/>
    <n v="1543.5420000000001"/>
    <n v="1574.4128400000002"/>
    <n v="10321.150840000002"/>
  </r>
  <r>
    <s v="ORD-1247"/>
    <x v="44"/>
    <x v="0"/>
    <x v="3"/>
    <s v="Food &amp; Beverages"/>
    <s v="Juice Pack"/>
    <x v="2"/>
    <n v="30"/>
    <n v="344.78"/>
    <n v="5"/>
    <n v="18"/>
    <s v="Pending"/>
    <n v="10343.4"/>
    <n v="517.16999999999996"/>
    <n v="1768.7213999999999"/>
    <n v="11594.9514"/>
  </r>
  <r>
    <s v="ORD-1248"/>
    <x v="190"/>
    <x v="1"/>
    <x v="2"/>
    <s v="Clothing"/>
    <s v="Sneakers"/>
    <x v="1"/>
    <n v="3"/>
    <n v="1679.75"/>
    <n v="0"/>
    <n v="18"/>
    <s v="Returned"/>
    <n v="5039.25"/>
    <n v="0"/>
    <n v="907.06500000000005"/>
    <n v="5946.3150000000005"/>
  </r>
  <r>
    <s v="ORD-1249"/>
    <x v="31"/>
    <x v="1"/>
    <x v="2"/>
    <s v="Electronics"/>
    <s v="Laptop"/>
    <x v="0"/>
    <n v="46"/>
    <n v="310.55"/>
    <n v="0"/>
    <n v="18"/>
    <s v="Completed"/>
    <n v="14285.300000000001"/>
    <n v="0"/>
    <n v="2571.3540000000003"/>
    <n v="16856.654000000002"/>
  </r>
  <r>
    <s v="ORD-1250"/>
    <x v="60"/>
    <x v="3"/>
    <x v="4"/>
    <s v="Food &amp; Beverages"/>
    <s v="Protein Shake"/>
    <x v="2"/>
    <n v="1"/>
    <n v="1069.0999999999999"/>
    <n v="10"/>
    <n v="18"/>
    <s v="Completed"/>
    <n v="1069.0999999999999"/>
    <n v="106.91"/>
    <n v="173.1942"/>
    <n v="1135.3842"/>
  </r>
  <r>
    <s v="ORD-1251"/>
    <x v="191"/>
    <x v="0"/>
    <x v="3"/>
    <s v="Electronics"/>
    <s v="Smartwatch"/>
    <x v="1"/>
    <n v="45"/>
    <n v="1351.33"/>
    <n v="0"/>
    <n v="18"/>
    <s v="Returned"/>
    <n v="60809.85"/>
    <n v="0"/>
    <n v="10945.773000000001"/>
    <n v="71755.622999999992"/>
  </r>
  <r>
    <s v="ORD-1252"/>
    <x v="35"/>
    <x v="2"/>
    <x v="0"/>
    <s v="Electronics"/>
    <s v="Smartwatch"/>
    <x v="0"/>
    <n v="34"/>
    <n v="512.30999999999995"/>
    <n v="5"/>
    <n v="18"/>
    <s v="Returned"/>
    <n v="17418.539999999997"/>
    <n v="870.92699999999979"/>
    <n v="2978.5703399999998"/>
    <n v="19526.183339999996"/>
  </r>
  <r>
    <s v="ORD-1253"/>
    <x v="41"/>
    <x v="0"/>
    <x v="5"/>
    <s v="Food &amp; Beverages"/>
    <s v="Coffee Beans"/>
    <x v="2"/>
    <n v="16"/>
    <n v="1980.56"/>
    <n v="0"/>
    <n v="18"/>
    <s v="Returned"/>
    <n v="31688.959999999999"/>
    <n v="0"/>
    <n v="5704.0128000000004"/>
    <n v="37392.972800000003"/>
  </r>
  <r>
    <s v="ORD-1254"/>
    <x v="192"/>
    <x v="3"/>
    <x v="5"/>
    <s v="Electronics"/>
    <s v="Laptop"/>
    <x v="2"/>
    <n v="36"/>
    <n v="957.25"/>
    <n v="20"/>
    <n v="18"/>
    <s v="Pending"/>
    <n v="34461"/>
    <n v="6892.2"/>
    <n v="4962.384"/>
    <n v="32531.184000000001"/>
  </r>
  <r>
    <s v="ORD-1255"/>
    <x v="122"/>
    <x v="1"/>
    <x v="5"/>
    <s v="Clothing"/>
    <s v="T-Shirt"/>
    <x v="3"/>
    <n v="7"/>
    <n v="1790.63"/>
    <n v="0"/>
    <n v="18"/>
    <s v="Returned"/>
    <n v="12534.41"/>
    <n v="0"/>
    <n v="2256.1938"/>
    <n v="14790.603800000001"/>
  </r>
  <r>
    <s v="ORD-1256"/>
    <x v="193"/>
    <x v="1"/>
    <x v="3"/>
    <s v="Clothing"/>
    <s v="Sneakers"/>
    <x v="1"/>
    <n v="44"/>
    <n v="1851.91"/>
    <n v="15"/>
    <n v="18"/>
    <s v="Completed"/>
    <n v="81484.040000000008"/>
    <n v="12222.606000000002"/>
    <n v="12467.058120000002"/>
    <n v="81728.49212000001"/>
  </r>
  <r>
    <s v="ORD-1257"/>
    <x v="173"/>
    <x v="0"/>
    <x v="1"/>
    <s v="Electronics"/>
    <s v="Smartphone"/>
    <x v="0"/>
    <n v="10"/>
    <n v="1506.99"/>
    <n v="20"/>
    <n v="18"/>
    <s v="Returned"/>
    <n v="15069.9"/>
    <n v="3013.98"/>
    <n v="2170.0655999999999"/>
    <n v="14225.9856"/>
  </r>
  <r>
    <s v="ORD-1258"/>
    <x v="194"/>
    <x v="2"/>
    <x v="0"/>
    <s v="Electronics"/>
    <s v="Tablet"/>
    <x v="2"/>
    <n v="22"/>
    <n v="773.85"/>
    <n v="20"/>
    <n v="18"/>
    <s v="Returned"/>
    <n v="17024.7"/>
    <n v="3404.94"/>
    <n v="2451.5567999999998"/>
    <n v="16071.316800000001"/>
  </r>
  <r>
    <s v="ORD-1259"/>
    <x v="195"/>
    <x v="0"/>
    <x v="1"/>
    <s v="Electronics"/>
    <s v="Smartwatch"/>
    <x v="1"/>
    <n v="15"/>
    <n v="1678.96"/>
    <n v="5"/>
    <n v="18"/>
    <s v="Pending"/>
    <n v="25184.400000000001"/>
    <n v="1259.22"/>
    <n v="4306.5324000000001"/>
    <n v="28231.7124"/>
  </r>
  <r>
    <s v="ORD-1260"/>
    <x v="30"/>
    <x v="1"/>
    <x v="7"/>
    <s v="Sports"/>
    <s v="Tennis Racket"/>
    <x v="1"/>
    <n v="29"/>
    <n v="986.3"/>
    <n v="5"/>
    <n v="18"/>
    <s v="Completed"/>
    <n v="28602.699999999997"/>
    <n v="1430.135"/>
    <n v="4891.0617000000002"/>
    <n v="32063.626700000001"/>
  </r>
  <r>
    <s v="ORD-1261"/>
    <x v="177"/>
    <x v="2"/>
    <x v="5"/>
    <s v="Food &amp; Beverages"/>
    <s v="Energy Bar"/>
    <x v="1"/>
    <n v="19"/>
    <n v="1598.13"/>
    <n v="20"/>
    <n v="18"/>
    <s v="Returned"/>
    <n v="30364.47"/>
    <n v="6072.8940000000002"/>
    <n v="4372.4836800000003"/>
    <n v="28664.059680000002"/>
  </r>
  <r>
    <s v="ORD-1262"/>
    <x v="172"/>
    <x v="2"/>
    <x v="5"/>
    <s v="Electronics"/>
    <s v="Tablet"/>
    <x v="0"/>
    <n v="21"/>
    <n v="727.79"/>
    <n v="0"/>
    <n v="18"/>
    <s v="Pending"/>
    <n v="15283.59"/>
    <n v="0"/>
    <n v="2751.0461999999998"/>
    <n v="18034.636200000001"/>
  </r>
  <r>
    <s v="ORD-1263"/>
    <x v="164"/>
    <x v="0"/>
    <x v="3"/>
    <s v="Furniture"/>
    <s v="Office Chair"/>
    <x v="1"/>
    <n v="6"/>
    <n v="382.91"/>
    <n v="10"/>
    <n v="18"/>
    <s v="Completed"/>
    <n v="2297.46"/>
    <n v="229.74599999999998"/>
    <n v="372.18851999999998"/>
    <n v="2439.9025200000001"/>
  </r>
  <r>
    <s v="ORD-1264"/>
    <x v="196"/>
    <x v="1"/>
    <x v="6"/>
    <s v="Sports"/>
    <s v="Tennis Racket"/>
    <x v="1"/>
    <n v="23"/>
    <n v="1112.9000000000001"/>
    <n v="15"/>
    <n v="18"/>
    <s v="Completed"/>
    <n v="25596.7"/>
    <n v="3839.5050000000001"/>
    <n v="3916.2951000000003"/>
    <n v="25673.490099999999"/>
  </r>
  <r>
    <s v="ORD-1265"/>
    <x v="197"/>
    <x v="3"/>
    <x v="3"/>
    <s v="Furniture"/>
    <s v="Office Chair"/>
    <x v="2"/>
    <n v="50"/>
    <n v="178.55"/>
    <n v="15"/>
    <n v="18"/>
    <s v="Pending"/>
    <n v="8927.5"/>
    <n v="1339.125"/>
    <n v="1365.9075"/>
    <n v="8954.2824999999993"/>
  </r>
  <r>
    <s v="ORD-1266"/>
    <x v="188"/>
    <x v="2"/>
    <x v="5"/>
    <s v="Sports"/>
    <s v="Tennis Racket"/>
    <x v="0"/>
    <n v="18"/>
    <n v="609.25"/>
    <n v="10"/>
    <n v="18"/>
    <s v="Completed"/>
    <n v="10966.5"/>
    <n v="1096.6500000000001"/>
    <n v="1776.5730000000001"/>
    <n v="11646.423000000001"/>
  </r>
  <r>
    <s v="ORD-1267"/>
    <x v="198"/>
    <x v="1"/>
    <x v="3"/>
    <s v="Electronics"/>
    <s v="Smartphone"/>
    <x v="2"/>
    <n v="31"/>
    <n v="1567.51"/>
    <n v="5"/>
    <n v="18"/>
    <s v="Completed"/>
    <n v="48592.81"/>
    <n v="2429.6405"/>
    <n v="8309.3705100000006"/>
    <n v="54472.540009999997"/>
  </r>
  <r>
    <s v="ORD-1268"/>
    <x v="199"/>
    <x v="2"/>
    <x v="4"/>
    <s v="Clothing"/>
    <s v="Dress"/>
    <x v="1"/>
    <n v="20"/>
    <n v="23.47"/>
    <n v="10"/>
    <n v="18"/>
    <s v="Completed"/>
    <n v="469.4"/>
    <n v="46.94"/>
    <n v="76.0428"/>
    <n v="498.50279999999998"/>
  </r>
  <r>
    <s v="ORD-1269"/>
    <x v="41"/>
    <x v="0"/>
    <x v="4"/>
    <s v="Sports"/>
    <s v="Running Shoes"/>
    <x v="3"/>
    <n v="42"/>
    <n v="1948.71"/>
    <n v="0"/>
    <n v="18"/>
    <s v="Pending"/>
    <n v="81845.820000000007"/>
    <n v="0"/>
    <n v="14732.247600000002"/>
    <n v="96578.067600000009"/>
  </r>
  <r>
    <s v="ORD-1270"/>
    <x v="200"/>
    <x v="2"/>
    <x v="4"/>
    <s v="Furniture"/>
    <s v="Wardrobe"/>
    <x v="3"/>
    <n v="26"/>
    <n v="1937.76"/>
    <n v="5"/>
    <n v="18"/>
    <s v="Completed"/>
    <n v="50381.760000000002"/>
    <n v="2519.0880000000002"/>
    <n v="8615.2809600000001"/>
    <n v="56477.952959999995"/>
  </r>
  <r>
    <s v="ORD-1271"/>
    <x v="15"/>
    <x v="2"/>
    <x v="7"/>
    <s v="Food &amp; Beverages"/>
    <s v="Juice Pack"/>
    <x v="2"/>
    <n v="26"/>
    <n v="736.38"/>
    <n v="15"/>
    <n v="18"/>
    <s v="Completed"/>
    <n v="19145.88"/>
    <n v="2871.8820000000001"/>
    <n v="2929.3196400000002"/>
    <n v="19203.317640000001"/>
  </r>
  <r>
    <s v="ORD-1272"/>
    <x v="88"/>
    <x v="2"/>
    <x v="1"/>
    <s v="Sports"/>
    <s v="Tennis Racket"/>
    <x v="2"/>
    <n v="29"/>
    <n v="1597.39"/>
    <n v="20"/>
    <n v="18"/>
    <s v="Completed"/>
    <n v="46324.310000000005"/>
    <n v="9264.862000000001"/>
    <n v="6670.70064"/>
    <n v="43730.148640000007"/>
  </r>
  <r>
    <s v="ORD-1273"/>
    <x v="201"/>
    <x v="2"/>
    <x v="3"/>
    <s v="Food &amp; Beverages"/>
    <s v="Energy Bar"/>
    <x v="0"/>
    <n v="43"/>
    <n v="316.75"/>
    <n v="10"/>
    <n v="18"/>
    <s v="Completed"/>
    <n v="13620.25"/>
    <n v="1362.0250000000001"/>
    <n v="2206.4805000000001"/>
    <n v="14464.7055"/>
  </r>
  <r>
    <s v="ORD-1274"/>
    <x v="202"/>
    <x v="1"/>
    <x v="5"/>
    <s v="Electronics"/>
    <s v="Headphones"/>
    <x v="2"/>
    <n v="3"/>
    <n v="1583.53"/>
    <n v="5"/>
    <n v="18"/>
    <s v="Returned"/>
    <n v="4750.59"/>
    <n v="237.52950000000001"/>
    <n v="812.35089000000005"/>
    <n v="5325.4113900000002"/>
  </r>
  <r>
    <s v="ORD-1275"/>
    <x v="193"/>
    <x v="3"/>
    <x v="6"/>
    <s v="Sports"/>
    <s v="Tennis Racket"/>
    <x v="0"/>
    <n v="11"/>
    <n v="1297.53"/>
    <n v="0"/>
    <n v="18"/>
    <s v="Completed"/>
    <n v="14272.83"/>
    <n v="0"/>
    <n v="2569.1093999999998"/>
    <n v="16841.939399999999"/>
  </r>
  <r>
    <s v="ORD-1276"/>
    <x v="203"/>
    <x v="1"/>
    <x v="6"/>
    <s v="Food &amp; Beverages"/>
    <s v="Protein Shake"/>
    <x v="1"/>
    <n v="17"/>
    <n v="451.78"/>
    <n v="20"/>
    <n v="18"/>
    <s v="Completed"/>
    <n v="7680.2599999999993"/>
    <n v="1536.0519999999999"/>
    <n v="1105.9574399999999"/>
    <n v="7250.1654399999998"/>
  </r>
  <r>
    <s v="ORD-1277"/>
    <x v="65"/>
    <x v="2"/>
    <x v="4"/>
    <s v="Sports"/>
    <s v="Tennis Racket"/>
    <x v="3"/>
    <n v="30"/>
    <n v="1546.96"/>
    <n v="15"/>
    <n v="18"/>
    <s v="Pending"/>
    <n v="46408.800000000003"/>
    <n v="6961.32"/>
    <n v="7100.5464000000002"/>
    <n v="46548.026400000002"/>
  </r>
  <r>
    <s v="ORD-1278"/>
    <x v="83"/>
    <x v="0"/>
    <x v="1"/>
    <s v="Sports"/>
    <s v="Dumbbells"/>
    <x v="2"/>
    <n v="19"/>
    <n v="837.79"/>
    <n v="0"/>
    <n v="18"/>
    <s v="Completed"/>
    <n v="15918.009999999998"/>
    <n v="0"/>
    <n v="2865.2417999999998"/>
    <n v="18783.251799999998"/>
  </r>
  <r>
    <s v="ORD-1279"/>
    <x v="204"/>
    <x v="0"/>
    <x v="7"/>
    <s v="Clothing"/>
    <s v="Jacket"/>
    <x v="2"/>
    <n v="34"/>
    <n v="971.02"/>
    <n v="10"/>
    <n v="18"/>
    <s v="Completed"/>
    <n v="33014.68"/>
    <n v="3301.4679999999998"/>
    <n v="5348.3781600000002"/>
    <n v="35061.59016"/>
  </r>
  <r>
    <s v="ORD-1280"/>
    <x v="132"/>
    <x v="0"/>
    <x v="6"/>
    <s v="Food &amp; Beverages"/>
    <s v="Energy Bar"/>
    <x v="3"/>
    <n v="46"/>
    <n v="239.02"/>
    <n v="5"/>
    <n v="18"/>
    <s v="Completed"/>
    <n v="10994.92"/>
    <n v="549.74599999999998"/>
    <n v="1880.1313200000002"/>
    <n v="12325.305320000001"/>
  </r>
  <r>
    <s v="ORD-1281"/>
    <x v="205"/>
    <x v="2"/>
    <x v="2"/>
    <s v="Electronics"/>
    <s v="Smartphone"/>
    <x v="0"/>
    <n v="36"/>
    <n v="858.48"/>
    <n v="10"/>
    <n v="18"/>
    <s v="Completed"/>
    <n v="30905.279999999999"/>
    <n v="3090.5279999999998"/>
    <n v="5006.6553600000007"/>
    <n v="32821.407359999997"/>
  </r>
  <r>
    <s v="ORD-1282"/>
    <x v="159"/>
    <x v="2"/>
    <x v="5"/>
    <s v="Food &amp; Beverages"/>
    <s v="Organic Tea"/>
    <x v="2"/>
    <n v="48"/>
    <n v="1232.07"/>
    <n v="0"/>
    <n v="18"/>
    <s v="Completed"/>
    <n v="59139.360000000001"/>
    <n v="0"/>
    <n v="10645.084800000001"/>
    <n v="69784.444799999997"/>
  </r>
  <r>
    <s v="ORD-1283"/>
    <x v="206"/>
    <x v="1"/>
    <x v="1"/>
    <s v="Sports"/>
    <s v="Running Shoes"/>
    <x v="0"/>
    <n v="18"/>
    <n v="1507.13"/>
    <n v="0"/>
    <n v="18"/>
    <s v="Completed"/>
    <n v="27128.340000000004"/>
    <n v="0"/>
    <n v="4883.101200000001"/>
    <n v="32011.441200000005"/>
  </r>
  <r>
    <s v="ORD-1284"/>
    <x v="207"/>
    <x v="2"/>
    <x v="7"/>
    <s v="Electronics"/>
    <s v="Smartwatch"/>
    <x v="3"/>
    <n v="30"/>
    <n v="236.77"/>
    <n v="20"/>
    <n v="18"/>
    <s v="Completed"/>
    <n v="7103.1"/>
    <n v="1420.62"/>
    <n v="1022.8464000000001"/>
    <n v="6705.3264000000008"/>
  </r>
  <r>
    <s v="ORD-1285"/>
    <x v="74"/>
    <x v="1"/>
    <x v="5"/>
    <s v="Sports"/>
    <s v="Cycling Helmet"/>
    <x v="1"/>
    <n v="23"/>
    <n v="1692.58"/>
    <n v="15"/>
    <n v="18"/>
    <s v="Completed"/>
    <n v="38929.339999999997"/>
    <n v="5839.4009999999998"/>
    <n v="5956.1890199999998"/>
    <n v="39046.128019999996"/>
  </r>
  <r>
    <s v="ORD-1286"/>
    <x v="146"/>
    <x v="3"/>
    <x v="2"/>
    <s v="Furniture"/>
    <s v="Wardrobe"/>
    <x v="3"/>
    <n v="16"/>
    <n v="617.71"/>
    <n v="0"/>
    <n v="18"/>
    <s v="Completed"/>
    <n v="9883.36"/>
    <n v="0"/>
    <n v="1779.0048000000002"/>
    <n v="11662.364800000001"/>
  </r>
  <r>
    <s v="ORD-1287"/>
    <x v="81"/>
    <x v="1"/>
    <x v="5"/>
    <s v="Clothing"/>
    <s v="Sneakers"/>
    <x v="0"/>
    <n v="25"/>
    <n v="851.85"/>
    <n v="10"/>
    <n v="18"/>
    <s v="Returned"/>
    <n v="21296.25"/>
    <n v="2129.625"/>
    <n v="3449.9924999999998"/>
    <n v="22616.6175"/>
  </r>
  <r>
    <s v="ORD-1288"/>
    <x v="100"/>
    <x v="2"/>
    <x v="4"/>
    <s v="Sports"/>
    <s v="Dumbbells"/>
    <x v="3"/>
    <n v="12"/>
    <n v="636.01"/>
    <n v="10"/>
    <n v="18"/>
    <s v="Completed"/>
    <n v="7632.12"/>
    <n v="763.21199999999999"/>
    <n v="1236.4034399999998"/>
    <n v="8105.3114399999995"/>
  </r>
  <r>
    <s v="ORD-1289"/>
    <x v="208"/>
    <x v="3"/>
    <x v="4"/>
    <s v="Electronics"/>
    <s v="Tablet"/>
    <x v="0"/>
    <n v="25"/>
    <n v="1928.02"/>
    <n v="15"/>
    <n v="18"/>
    <s v="Completed"/>
    <n v="48200.5"/>
    <n v="7230.0749999999998"/>
    <n v="7374.6765000000005"/>
    <n v="48345.101500000004"/>
  </r>
  <r>
    <s v="ORD-1290"/>
    <x v="209"/>
    <x v="1"/>
    <x v="5"/>
    <s v="Food &amp; Beverages"/>
    <s v="Energy Bar"/>
    <x v="2"/>
    <n v="11"/>
    <n v="174.51"/>
    <n v="0"/>
    <n v="18"/>
    <s v="Pending"/>
    <n v="1919.61"/>
    <n v="0"/>
    <n v="345.52979999999997"/>
    <n v="2265.1397999999999"/>
  </r>
  <r>
    <s v="ORD-1291"/>
    <x v="210"/>
    <x v="0"/>
    <x v="0"/>
    <s v="Furniture"/>
    <s v="Sofa"/>
    <x v="3"/>
    <n v="50"/>
    <n v="920.07"/>
    <n v="20"/>
    <n v="18"/>
    <s v="Completed"/>
    <n v="46003.5"/>
    <n v="9200.7000000000007"/>
    <n v="6624.5039999999999"/>
    <n v="43427.304000000004"/>
  </r>
  <r>
    <s v="ORD-1292"/>
    <x v="139"/>
    <x v="3"/>
    <x v="6"/>
    <s v="Sports"/>
    <s v="Tennis Racket"/>
    <x v="3"/>
    <n v="24"/>
    <n v="1088.67"/>
    <n v="0"/>
    <n v="18"/>
    <s v="Returned"/>
    <n v="26128.080000000002"/>
    <n v="0"/>
    <n v="4703.0544000000009"/>
    <n v="30831.134400000003"/>
  </r>
  <r>
    <s v="ORD-1293"/>
    <x v="62"/>
    <x v="1"/>
    <x v="6"/>
    <s v="Sports"/>
    <s v="Dumbbells"/>
    <x v="0"/>
    <n v="3"/>
    <n v="904.97"/>
    <n v="5"/>
    <n v="18"/>
    <s v="Completed"/>
    <n v="2714.91"/>
    <n v="135.74549999999999"/>
    <n v="464.24960999999996"/>
    <n v="3043.4141099999997"/>
  </r>
  <r>
    <s v="ORD-1294"/>
    <x v="194"/>
    <x v="2"/>
    <x v="0"/>
    <s v="Food &amp; Beverages"/>
    <s v="Coffee Beans"/>
    <x v="3"/>
    <n v="41"/>
    <n v="862.05"/>
    <n v="15"/>
    <n v="18"/>
    <s v="Returned"/>
    <n v="35344.049999999996"/>
    <n v="5301.6074999999992"/>
    <n v="5407.6396500000001"/>
    <n v="35450.082149999995"/>
  </r>
  <r>
    <s v="ORD-1295"/>
    <x v="211"/>
    <x v="3"/>
    <x v="7"/>
    <s v="Clothing"/>
    <s v="Jeans"/>
    <x v="3"/>
    <n v="35"/>
    <n v="345.07"/>
    <n v="20"/>
    <n v="18"/>
    <s v="Returned"/>
    <n v="12077.449999999999"/>
    <n v="2415.4899999999998"/>
    <n v="1739.1527999999996"/>
    <n v="11401.112799999999"/>
  </r>
  <r>
    <s v="ORD-1296"/>
    <x v="212"/>
    <x v="0"/>
    <x v="6"/>
    <s v="Furniture"/>
    <s v="Wardrobe"/>
    <x v="0"/>
    <n v="4"/>
    <n v="1985.05"/>
    <n v="20"/>
    <n v="18"/>
    <s v="Pending"/>
    <n v="7940.2"/>
    <n v="1588.04"/>
    <n v="1143.3887999999999"/>
    <n v="7495.5487999999996"/>
  </r>
  <r>
    <s v="ORD-1297"/>
    <x v="80"/>
    <x v="2"/>
    <x v="7"/>
    <s v="Clothing"/>
    <s v="Jeans"/>
    <x v="0"/>
    <n v="32"/>
    <n v="292.92"/>
    <n v="20"/>
    <n v="18"/>
    <s v="Pending"/>
    <n v="9373.44"/>
    <n v="1874.6880000000001"/>
    <n v="1349.7753600000003"/>
    <n v="8848.52736"/>
  </r>
  <r>
    <s v="ORD-1298"/>
    <x v="129"/>
    <x v="1"/>
    <x v="6"/>
    <s v="Food &amp; Beverages"/>
    <s v="Energy Bar"/>
    <x v="1"/>
    <n v="33"/>
    <n v="1502.11"/>
    <n v="20"/>
    <n v="18"/>
    <s v="Pending"/>
    <n v="49569.63"/>
    <n v="9913.9259999999995"/>
    <n v="7138.0267199999998"/>
    <n v="46793.73072"/>
  </r>
  <r>
    <s v="ORD-1299"/>
    <x v="111"/>
    <x v="0"/>
    <x v="1"/>
    <s v="Food &amp; Beverages"/>
    <s v="Energy Bar"/>
    <x v="1"/>
    <n v="41"/>
    <n v="1331.65"/>
    <n v="5"/>
    <n v="18"/>
    <s v="Pending"/>
    <n v="54597.65"/>
    <n v="2729.8825000000002"/>
    <n v="9336.1981500000002"/>
    <n v="61203.965649999998"/>
  </r>
  <r>
    <s v="ORD-1300"/>
    <x v="53"/>
    <x v="2"/>
    <x v="5"/>
    <s v="Sports"/>
    <s v="Running Shoes"/>
    <x v="0"/>
    <n v="18"/>
    <n v="652.5"/>
    <n v="5"/>
    <n v="18"/>
    <s v="Pending"/>
    <n v="11745"/>
    <n v="587.25"/>
    <n v="2008.395"/>
    <n v="13166.145"/>
  </r>
  <r>
    <s v="ORD-1301"/>
    <x v="213"/>
    <x v="2"/>
    <x v="4"/>
    <s v="Sports"/>
    <s v="Tennis Racket"/>
    <x v="3"/>
    <n v="3"/>
    <n v="208.15"/>
    <n v="10"/>
    <n v="18"/>
    <s v="Completed"/>
    <n v="624.45000000000005"/>
    <n v="62.445"/>
    <n v="101.1609"/>
    <n v="663.16589999999997"/>
  </r>
  <r>
    <s v="ORD-1302"/>
    <x v="142"/>
    <x v="1"/>
    <x v="4"/>
    <s v="Electronics"/>
    <s v="Smartphone"/>
    <x v="1"/>
    <n v="13"/>
    <n v="1991.43"/>
    <n v="0"/>
    <n v="18"/>
    <s v="Pending"/>
    <n v="25888.59"/>
    <n v="0"/>
    <n v="4659.9462000000003"/>
    <n v="30548.536200000002"/>
  </r>
  <r>
    <s v="ORD-1303"/>
    <x v="214"/>
    <x v="0"/>
    <x v="6"/>
    <s v="Furniture"/>
    <s v="Dining Table"/>
    <x v="3"/>
    <n v="6"/>
    <n v="749.97"/>
    <n v="20"/>
    <n v="18"/>
    <s v="Completed"/>
    <n v="4499.82"/>
    <n v="899.96399999999994"/>
    <n v="647.97407999999996"/>
    <n v="4247.8300799999997"/>
  </r>
  <r>
    <s v="ORD-1304"/>
    <x v="174"/>
    <x v="0"/>
    <x v="0"/>
    <s v="Electronics"/>
    <s v="Headphones"/>
    <x v="2"/>
    <n v="46"/>
    <n v="199.42"/>
    <n v="0"/>
    <n v="18"/>
    <s v="Completed"/>
    <n v="9173.32"/>
    <n v="0"/>
    <n v="1651.1976000000002"/>
    <n v="10824.517599999999"/>
  </r>
  <r>
    <s v="ORD-1305"/>
    <x v="215"/>
    <x v="2"/>
    <x v="4"/>
    <s v="Electronics"/>
    <s v="Smartphone"/>
    <x v="1"/>
    <n v="45"/>
    <n v="693.71"/>
    <n v="0"/>
    <n v="18"/>
    <s v="Completed"/>
    <n v="31216.95"/>
    <n v="0"/>
    <n v="5619.0509999999995"/>
    <n v="36836.001000000004"/>
  </r>
  <r>
    <s v="ORD-1306"/>
    <x v="123"/>
    <x v="3"/>
    <x v="0"/>
    <s v="Clothing"/>
    <s v="Dress"/>
    <x v="2"/>
    <n v="47"/>
    <n v="1613.85"/>
    <n v="0"/>
    <n v="18"/>
    <s v="Completed"/>
    <n v="75850.95"/>
    <n v="0"/>
    <n v="13653.170999999998"/>
    <n v="89504.120999999999"/>
  </r>
  <r>
    <s v="ORD-1307"/>
    <x v="138"/>
    <x v="2"/>
    <x v="5"/>
    <s v="Furniture"/>
    <s v="Bookshelf"/>
    <x v="0"/>
    <n v="5"/>
    <n v="1065.71"/>
    <n v="0"/>
    <n v="18"/>
    <s v="Completed"/>
    <n v="5328.55"/>
    <n v="0"/>
    <n v="959.13900000000012"/>
    <n v="6287.6890000000003"/>
  </r>
  <r>
    <s v="ORD-1308"/>
    <x v="62"/>
    <x v="0"/>
    <x v="0"/>
    <s v="Clothing"/>
    <s v="Dress"/>
    <x v="0"/>
    <n v="40"/>
    <n v="1376.27"/>
    <n v="0"/>
    <n v="18"/>
    <s v="Pending"/>
    <n v="55050.8"/>
    <n v="0"/>
    <n v="9909.1440000000002"/>
    <n v="64959.944000000003"/>
  </r>
  <r>
    <s v="ORD-1309"/>
    <x v="181"/>
    <x v="3"/>
    <x v="5"/>
    <s v="Electronics"/>
    <s v="Smartphone"/>
    <x v="3"/>
    <n v="21"/>
    <n v="1584.24"/>
    <n v="0"/>
    <n v="18"/>
    <s v="Pending"/>
    <n v="33269.040000000001"/>
    <n v="0"/>
    <n v="5988.4272000000001"/>
    <n v="39257.467199999999"/>
  </r>
  <r>
    <s v="ORD-1310"/>
    <x v="216"/>
    <x v="0"/>
    <x v="1"/>
    <s v="Electronics"/>
    <s v="Smartphone"/>
    <x v="3"/>
    <n v="34"/>
    <n v="1217.78"/>
    <n v="0"/>
    <n v="18"/>
    <s v="Completed"/>
    <n v="41404.519999999997"/>
    <n v="0"/>
    <n v="7452.8135999999995"/>
    <n v="48857.333599999998"/>
  </r>
  <r>
    <s v="ORD-1311"/>
    <x v="217"/>
    <x v="2"/>
    <x v="4"/>
    <s v="Furniture"/>
    <s v="Sofa"/>
    <x v="2"/>
    <n v="16"/>
    <n v="1004.17"/>
    <n v="15"/>
    <n v="18"/>
    <s v="Completed"/>
    <n v="16066.72"/>
    <n v="2410.0079999999998"/>
    <n v="2458.2081600000001"/>
    <n v="16114.92016"/>
  </r>
  <r>
    <s v="ORD-1312"/>
    <x v="218"/>
    <x v="0"/>
    <x v="7"/>
    <s v="Sports"/>
    <s v="Yoga Mat"/>
    <x v="0"/>
    <n v="37"/>
    <n v="847.52"/>
    <n v="15"/>
    <n v="18"/>
    <s v="Pending"/>
    <n v="31358.239999999998"/>
    <n v="4703.7359999999999"/>
    <n v="4797.8107199999995"/>
    <n v="31452.314719999995"/>
  </r>
  <r>
    <s v="ORD-1313"/>
    <x v="173"/>
    <x v="3"/>
    <x v="1"/>
    <s v="Clothing"/>
    <s v="Dress"/>
    <x v="1"/>
    <n v="17"/>
    <n v="439.33"/>
    <n v="0"/>
    <n v="18"/>
    <s v="Completed"/>
    <n v="7468.61"/>
    <n v="0"/>
    <n v="1344.3497999999997"/>
    <n v="8812.9597999999987"/>
  </r>
  <r>
    <s v="ORD-1314"/>
    <x v="50"/>
    <x v="1"/>
    <x v="5"/>
    <s v="Sports"/>
    <s v="Cycling Helmet"/>
    <x v="2"/>
    <n v="41"/>
    <n v="1077.76"/>
    <n v="15"/>
    <n v="18"/>
    <s v="Completed"/>
    <n v="44188.159999999996"/>
    <n v="6628.2239999999993"/>
    <n v="6760.7884799999993"/>
    <n v="44320.72447999999"/>
  </r>
  <r>
    <s v="ORD-1315"/>
    <x v="94"/>
    <x v="0"/>
    <x v="6"/>
    <s v="Furniture"/>
    <s v="Sofa"/>
    <x v="0"/>
    <n v="35"/>
    <n v="660.23"/>
    <n v="15"/>
    <n v="18"/>
    <s v="Completed"/>
    <n v="23108.05"/>
    <n v="3466.2075"/>
    <n v="3535.5316499999999"/>
    <n v="23177.37415"/>
  </r>
  <r>
    <s v="ORD-1316"/>
    <x v="11"/>
    <x v="1"/>
    <x v="0"/>
    <s v="Electronics"/>
    <s v="Tablet"/>
    <x v="1"/>
    <n v="6"/>
    <n v="1850.01"/>
    <n v="0"/>
    <n v="18"/>
    <s v="Completed"/>
    <n v="11100.06"/>
    <n v="0"/>
    <n v="1998.0107999999998"/>
    <n v="13098.0708"/>
  </r>
  <r>
    <s v="ORD-1317"/>
    <x v="219"/>
    <x v="3"/>
    <x v="3"/>
    <s v="Sports"/>
    <s v="Tennis Racket"/>
    <x v="0"/>
    <n v="1"/>
    <n v="1418.72"/>
    <n v="20"/>
    <n v="18"/>
    <s v="Completed"/>
    <n v="1418.72"/>
    <n v="283.74400000000003"/>
    <n v="204.29568000000003"/>
    <n v="1339.2716800000001"/>
  </r>
  <r>
    <s v="ORD-1318"/>
    <x v="220"/>
    <x v="0"/>
    <x v="3"/>
    <s v="Clothing"/>
    <s v="Dress"/>
    <x v="0"/>
    <n v="9"/>
    <n v="1502.06"/>
    <n v="5"/>
    <n v="18"/>
    <s v="Completed"/>
    <n v="13518.539999999999"/>
    <n v="675.92700000000002"/>
    <n v="2311.6703399999997"/>
    <n v="15154.283339999998"/>
  </r>
  <r>
    <s v="ORD-1319"/>
    <x v="221"/>
    <x v="1"/>
    <x v="3"/>
    <s v="Electronics"/>
    <s v="Tablet"/>
    <x v="1"/>
    <n v="46"/>
    <n v="1950.35"/>
    <n v="20"/>
    <n v="18"/>
    <s v="Completed"/>
    <n v="89716.099999999991"/>
    <n v="17943.219999999998"/>
    <n v="12919.118399999999"/>
    <n v="84691.998399999982"/>
  </r>
  <r>
    <s v="ORD-1320"/>
    <x v="131"/>
    <x v="0"/>
    <x v="1"/>
    <s v="Food &amp; Beverages"/>
    <s v="Energy Bar"/>
    <x v="2"/>
    <n v="11"/>
    <n v="741.7"/>
    <n v="5"/>
    <n v="18"/>
    <s v="Returned"/>
    <n v="8158.7000000000007"/>
    <n v="407.935"/>
    <n v="1395.1377000000002"/>
    <n v="9145.9027000000006"/>
  </r>
  <r>
    <s v="ORD-1321"/>
    <x v="222"/>
    <x v="2"/>
    <x v="1"/>
    <s v="Sports"/>
    <s v="Yoga Mat"/>
    <x v="1"/>
    <n v="16"/>
    <n v="101.5"/>
    <n v="5"/>
    <n v="18"/>
    <s v="Completed"/>
    <n v="1624"/>
    <n v="81.2"/>
    <n v="277.70399999999995"/>
    <n v="1820.5039999999999"/>
  </r>
  <r>
    <s v="ORD-1322"/>
    <x v="158"/>
    <x v="3"/>
    <x v="5"/>
    <s v="Clothing"/>
    <s v="Jeans"/>
    <x v="0"/>
    <n v="16"/>
    <n v="838.35"/>
    <n v="20"/>
    <n v="18"/>
    <s v="Completed"/>
    <n v="13413.6"/>
    <n v="2682.72"/>
    <n v="1931.5584000000003"/>
    <n v="12662.438400000001"/>
  </r>
  <r>
    <s v="ORD-1323"/>
    <x v="223"/>
    <x v="0"/>
    <x v="6"/>
    <s v="Furniture"/>
    <s v="Sofa"/>
    <x v="1"/>
    <n v="15"/>
    <n v="1610.63"/>
    <n v="0"/>
    <n v="18"/>
    <s v="Completed"/>
    <n v="24159.45"/>
    <n v="0"/>
    <n v="4348.701"/>
    <n v="28508.151000000002"/>
  </r>
  <r>
    <s v="ORD-1324"/>
    <x v="15"/>
    <x v="0"/>
    <x v="3"/>
    <s v="Electronics"/>
    <s v="Headphones"/>
    <x v="3"/>
    <n v="36"/>
    <n v="918.92"/>
    <n v="5"/>
    <n v="18"/>
    <s v="Completed"/>
    <n v="33081.119999999995"/>
    <n v="1654.0559999999998"/>
    <n v="5656.8715199999988"/>
    <n v="37083.935519999992"/>
  </r>
  <r>
    <s v="ORD-1325"/>
    <x v="0"/>
    <x v="0"/>
    <x v="0"/>
    <s v="Furniture"/>
    <s v="Wardrobe"/>
    <x v="2"/>
    <n v="38"/>
    <n v="1944"/>
    <n v="0"/>
    <n v="18"/>
    <s v="Completed"/>
    <n v="73872"/>
    <n v="0"/>
    <n v="13296.96"/>
    <n v="87168.959999999992"/>
  </r>
  <r>
    <s v="ORD-1326"/>
    <x v="192"/>
    <x v="3"/>
    <x v="5"/>
    <s v="Clothing"/>
    <s v="Jeans"/>
    <x v="1"/>
    <n v="35"/>
    <n v="699.38"/>
    <n v="20"/>
    <n v="18"/>
    <s v="Completed"/>
    <n v="24478.3"/>
    <n v="4895.66"/>
    <n v="3524.8752000000004"/>
    <n v="23107.515200000002"/>
  </r>
  <r>
    <s v="ORD-1327"/>
    <x v="113"/>
    <x v="1"/>
    <x v="3"/>
    <s v="Furniture"/>
    <s v="Sofa"/>
    <x v="1"/>
    <n v="34"/>
    <n v="1966.4"/>
    <n v="10"/>
    <n v="18"/>
    <s v="Completed"/>
    <n v="66857.600000000006"/>
    <n v="6685.76"/>
    <n v="10830.931200000001"/>
    <n v="71002.771200000003"/>
  </r>
  <r>
    <s v="ORD-1328"/>
    <x v="224"/>
    <x v="0"/>
    <x v="6"/>
    <s v="Electronics"/>
    <s v="Smartphone"/>
    <x v="1"/>
    <n v="34"/>
    <n v="831.98"/>
    <n v="5"/>
    <n v="18"/>
    <s v="Completed"/>
    <n v="28287.32"/>
    <n v="1414.366"/>
    <n v="4837.1317199999994"/>
    <n v="31710.085719999995"/>
  </r>
  <r>
    <s v="ORD-1329"/>
    <x v="225"/>
    <x v="3"/>
    <x v="2"/>
    <s v="Electronics"/>
    <s v="Smartwatch"/>
    <x v="2"/>
    <n v="38"/>
    <n v="1139.96"/>
    <n v="10"/>
    <n v="18"/>
    <s v="Completed"/>
    <n v="43318.48"/>
    <n v="4331.8480000000009"/>
    <n v="7017.5937600000007"/>
    <n v="46004.225760000008"/>
  </r>
  <r>
    <s v="ORD-1330"/>
    <x v="226"/>
    <x v="0"/>
    <x v="3"/>
    <s v="Clothing"/>
    <s v="Jeans"/>
    <x v="3"/>
    <n v="45"/>
    <n v="1665.48"/>
    <n v="5"/>
    <n v="18"/>
    <s v="Pending"/>
    <n v="74946.600000000006"/>
    <n v="3747.33"/>
    <n v="12815.868600000002"/>
    <n v="84015.138600000006"/>
  </r>
  <r>
    <s v="ORD-1331"/>
    <x v="227"/>
    <x v="2"/>
    <x v="6"/>
    <s v="Food &amp; Beverages"/>
    <s v="Protein Shake"/>
    <x v="0"/>
    <n v="50"/>
    <n v="1542.59"/>
    <n v="0"/>
    <n v="18"/>
    <s v="Completed"/>
    <n v="77129.5"/>
    <n v="0"/>
    <n v="13883.31"/>
    <n v="91012.81"/>
  </r>
  <r>
    <s v="ORD-1332"/>
    <x v="228"/>
    <x v="1"/>
    <x v="4"/>
    <s v="Electronics"/>
    <s v="Smartphone"/>
    <x v="3"/>
    <n v="8"/>
    <n v="1076.49"/>
    <n v="0"/>
    <n v="18"/>
    <s v="Pending"/>
    <n v="8611.92"/>
    <n v="0"/>
    <n v="1550.1456000000001"/>
    <n v="10162.0656"/>
  </r>
  <r>
    <s v="ORD-1333"/>
    <x v="46"/>
    <x v="0"/>
    <x v="6"/>
    <s v="Furniture"/>
    <s v="Office Chair"/>
    <x v="1"/>
    <n v="44"/>
    <n v="615.39"/>
    <n v="20"/>
    <n v="18"/>
    <s v="Completed"/>
    <n v="27077.16"/>
    <n v="5415.4319999999998"/>
    <n v="3899.1110399999998"/>
    <n v="25560.839039999999"/>
  </r>
  <r>
    <s v="ORD-1334"/>
    <x v="120"/>
    <x v="2"/>
    <x v="7"/>
    <s v="Sports"/>
    <s v="Yoga Mat"/>
    <x v="0"/>
    <n v="46"/>
    <n v="503.96"/>
    <n v="5"/>
    <n v="18"/>
    <s v="Completed"/>
    <n v="23182.16"/>
    <n v="1159.1079999999999"/>
    <n v="3964.1493599999999"/>
    <n v="25987.201359999999"/>
  </r>
  <r>
    <s v="ORD-1335"/>
    <x v="229"/>
    <x v="0"/>
    <x v="3"/>
    <s v="Sports"/>
    <s v="Yoga Mat"/>
    <x v="0"/>
    <n v="26"/>
    <n v="1710.66"/>
    <n v="15"/>
    <n v="18"/>
    <s v="Completed"/>
    <n v="44477.16"/>
    <n v="6671.5740000000005"/>
    <n v="6805.0054800000007"/>
    <n v="44610.591480000003"/>
  </r>
  <r>
    <s v="ORD-1336"/>
    <x v="110"/>
    <x v="1"/>
    <x v="6"/>
    <s v="Clothing"/>
    <s v="T-Shirt"/>
    <x v="0"/>
    <n v="1"/>
    <n v="132.72"/>
    <n v="0"/>
    <n v="18"/>
    <s v="Completed"/>
    <n v="132.72"/>
    <n v="0"/>
    <n v="23.889600000000002"/>
    <n v="156.6096"/>
  </r>
  <r>
    <s v="ORD-1337"/>
    <x v="230"/>
    <x v="0"/>
    <x v="6"/>
    <s v="Clothing"/>
    <s v="Dress"/>
    <x v="3"/>
    <n v="2"/>
    <n v="1994.35"/>
    <n v="0"/>
    <n v="18"/>
    <s v="Completed"/>
    <n v="3988.7"/>
    <n v="0"/>
    <n v="717.96599999999989"/>
    <n v="4706.6659999999993"/>
  </r>
  <r>
    <s v="ORD-1338"/>
    <x v="231"/>
    <x v="3"/>
    <x v="7"/>
    <s v="Food &amp; Beverages"/>
    <s v="Organic Tea"/>
    <x v="1"/>
    <n v="30"/>
    <n v="110.77"/>
    <n v="15"/>
    <n v="18"/>
    <s v="Completed"/>
    <n v="3323.1"/>
    <n v="498.46499999999997"/>
    <n v="508.43429999999995"/>
    <n v="3333.0692999999997"/>
  </r>
  <r>
    <s v="ORD-1339"/>
    <x v="171"/>
    <x v="3"/>
    <x v="5"/>
    <s v="Food &amp; Beverages"/>
    <s v="Energy Bar"/>
    <x v="2"/>
    <n v="23"/>
    <n v="437.29"/>
    <n v="0"/>
    <n v="18"/>
    <s v="Completed"/>
    <n v="10057.67"/>
    <n v="0"/>
    <n v="1810.3806"/>
    <n v="11868.0506"/>
  </r>
  <r>
    <s v="ORD-1340"/>
    <x v="148"/>
    <x v="2"/>
    <x v="1"/>
    <s v="Furniture"/>
    <s v="Office Chair"/>
    <x v="0"/>
    <n v="32"/>
    <n v="829.86"/>
    <n v="15"/>
    <n v="18"/>
    <s v="Completed"/>
    <n v="26555.52"/>
    <n v="3983.328"/>
    <n v="4062.9945600000001"/>
    <n v="26635.186559999998"/>
  </r>
  <r>
    <s v="ORD-1341"/>
    <x v="20"/>
    <x v="0"/>
    <x v="5"/>
    <s v="Electronics"/>
    <s v="Laptop"/>
    <x v="0"/>
    <n v="13"/>
    <n v="1288.8800000000001"/>
    <n v="15"/>
    <n v="18"/>
    <s v="Pending"/>
    <n v="16755.440000000002"/>
    <n v="2513.3160000000003"/>
    <n v="2563.58232"/>
    <n v="16805.706320000001"/>
  </r>
  <r>
    <s v="ORD-1342"/>
    <x v="141"/>
    <x v="1"/>
    <x v="7"/>
    <s v="Sports"/>
    <s v="Yoga Mat"/>
    <x v="2"/>
    <n v="32"/>
    <n v="694.63"/>
    <n v="15"/>
    <n v="18"/>
    <s v="Returned"/>
    <n v="22228.16"/>
    <n v="3334.2240000000002"/>
    <n v="3400.9084800000001"/>
    <n v="22294.84448"/>
  </r>
  <r>
    <s v="ORD-1343"/>
    <x v="176"/>
    <x v="0"/>
    <x v="2"/>
    <s v="Furniture"/>
    <s v="Office Chair"/>
    <x v="1"/>
    <n v="39"/>
    <n v="445.85"/>
    <n v="5"/>
    <n v="18"/>
    <s v="Completed"/>
    <n v="17388.150000000001"/>
    <n v="869.40750000000003"/>
    <n v="2973.37365"/>
    <n v="19492.116150000002"/>
  </r>
  <r>
    <s v="ORD-1344"/>
    <x v="232"/>
    <x v="0"/>
    <x v="0"/>
    <s v="Food &amp; Beverages"/>
    <s v="Juice Pack"/>
    <x v="0"/>
    <n v="16"/>
    <n v="1317.16"/>
    <n v="5"/>
    <n v="18"/>
    <s v="Completed"/>
    <n v="21074.560000000001"/>
    <n v="1053.7280000000001"/>
    <n v="3603.7497600000002"/>
    <n v="23624.581760000001"/>
  </r>
  <r>
    <s v="ORD-1345"/>
    <x v="233"/>
    <x v="1"/>
    <x v="7"/>
    <s v="Electronics"/>
    <s v="Smartphone"/>
    <x v="0"/>
    <n v="16"/>
    <n v="1189.1099999999999"/>
    <n v="20"/>
    <n v="18"/>
    <s v="Completed"/>
    <n v="19025.759999999998"/>
    <n v="3805.1519999999996"/>
    <n v="2739.7094399999996"/>
    <n v="17960.317439999999"/>
  </r>
  <r>
    <s v="ORD-1346"/>
    <x v="24"/>
    <x v="3"/>
    <x v="7"/>
    <s v="Furniture"/>
    <s v="Wardrobe"/>
    <x v="0"/>
    <n v="13"/>
    <n v="1675.03"/>
    <n v="10"/>
    <n v="18"/>
    <s v="Returned"/>
    <n v="21775.39"/>
    <n v="2177.5389999999998"/>
    <n v="3527.6131799999998"/>
    <n v="23125.464179999999"/>
  </r>
  <r>
    <s v="ORD-1347"/>
    <x v="234"/>
    <x v="1"/>
    <x v="1"/>
    <s v="Furniture"/>
    <s v="Dining Table"/>
    <x v="1"/>
    <n v="15"/>
    <n v="1207.31"/>
    <n v="0"/>
    <n v="18"/>
    <s v="Completed"/>
    <n v="18109.649999999998"/>
    <n v="0"/>
    <n v="3259.7369999999996"/>
    <n v="21369.386999999999"/>
  </r>
  <r>
    <s v="ORD-1348"/>
    <x v="235"/>
    <x v="0"/>
    <x v="0"/>
    <s v="Food &amp; Beverages"/>
    <s v="Coffee Beans"/>
    <x v="0"/>
    <n v="46"/>
    <n v="363.15"/>
    <n v="5"/>
    <n v="18"/>
    <s v="Completed"/>
    <n v="16704.899999999998"/>
    <n v="835.24499999999989"/>
    <n v="2856.5378999999998"/>
    <n v="18726.192899999998"/>
  </r>
  <r>
    <s v="ORD-1349"/>
    <x v="120"/>
    <x v="2"/>
    <x v="6"/>
    <s v="Electronics"/>
    <s v="Smartphone"/>
    <x v="3"/>
    <n v="24"/>
    <n v="1412.03"/>
    <n v="20"/>
    <n v="18"/>
    <s v="Completed"/>
    <n v="33888.720000000001"/>
    <n v="6777.7440000000006"/>
    <n v="4879.9756800000005"/>
    <n v="31990.951680000002"/>
  </r>
  <r>
    <s v="ORD-1350"/>
    <x v="144"/>
    <x v="0"/>
    <x v="3"/>
    <s v="Sports"/>
    <s v="Yoga Mat"/>
    <x v="3"/>
    <n v="11"/>
    <n v="1467.38"/>
    <n v="10"/>
    <n v="18"/>
    <s v="Completed"/>
    <n v="16141.18"/>
    <n v="1614.1179999999999"/>
    <n v="2614.8711600000001"/>
    <n v="17141.93316"/>
  </r>
  <r>
    <s v="ORD-1351"/>
    <x v="6"/>
    <x v="2"/>
    <x v="7"/>
    <s v="Food &amp; Beverages"/>
    <s v="Protein Shake"/>
    <x v="0"/>
    <n v="12"/>
    <n v="762.98"/>
    <n v="20"/>
    <n v="18"/>
    <s v="Returned"/>
    <n v="9155.76"/>
    <n v="1831.152"/>
    <n v="1318.4294400000001"/>
    <n v="8643.0374400000001"/>
  </r>
  <r>
    <s v="ORD-1352"/>
    <x v="169"/>
    <x v="2"/>
    <x v="1"/>
    <s v="Furniture"/>
    <s v="Dining Table"/>
    <x v="2"/>
    <n v="3"/>
    <n v="372.34"/>
    <n v="5"/>
    <n v="18"/>
    <s v="Returned"/>
    <n v="1117.02"/>
    <n v="55.851000000000006"/>
    <n v="191.01041999999998"/>
    <n v="1252.1794199999999"/>
  </r>
  <r>
    <s v="ORD-1353"/>
    <x v="158"/>
    <x v="3"/>
    <x v="4"/>
    <s v="Clothing"/>
    <s v="Sneakers"/>
    <x v="0"/>
    <n v="48"/>
    <n v="164.84"/>
    <n v="5"/>
    <n v="18"/>
    <s v="Completed"/>
    <n v="7912.32"/>
    <n v="395.61599999999999"/>
    <n v="1353.0067199999999"/>
    <n v="8869.7107199999991"/>
  </r>
  <r>
    <s v="ORD-1354"/>
    <x v="36"/>
    <x v="0"/>
    <x v="4"/>
    <s v="Clothing"/>
    <s v="T-Shirt"/>
    <x v="1"/>
    <n v="14"/>
    <n v="506.59"/>
    <n v="0"/>
    <n v="18"/>
    <s v="Completed"/>
    <n v="7092.2599999999993"/>
    <n v="0"/>
    <n v="1276.6068"/>
    <n v="8368.8667999999998"/>
  </r>
  <r>
    <s v="ORD-1355"/>
    <x v="236"/>
    <x v="3"/>
    <x v="1"/>
    <s v="Furniture"/>
    <s v="Sofa"/>
    <x v="2"/>
    <n v="47"/>
    <n v="845.11"/>
    <n v="0"/>
    <n v="18"/>
    <s v="Pending"/>
    <n v="39720.17"/>
    <n v="0"/>
    <n v="7149.6305999999995"/>
    <n v="46869.800599999995"/>
  </r>
  <r>
    <s v="ORD-1356"/>
    <x v="86"/>
    <x v="0"/>
    <x v="5"/>
    <s v="Food &amp; Beverages"/>
    <s v="Energy Bar"/>
    <x v="1"/>
    <n v="37"/>
    <n v="1305.43"/>
    <n v="20"/>
    <n v="18"/>
    <s v="Pending"/>
    <n v="48300.91"/>
    <n v="9660.1820000000007"/>
    <n v="6955.3310400000009"/>
    <n v="45596.059040000007"/>
  </r>
  <r>
    <s v="ORD-1357"/>
    <x v="177"/>
    <x v="3"/>
    <x v="1"/>
    <s v="Clothing"/>
    <s v="Dress"/>
    <x v="3"/>
    <n v="21"/>
    <n v="529.64"/>
    <n v="0"/>
    <n v="18"/>
    <s v="Completed"/>
    <n v="11122.44"/>
    <n v="0"/>
    <n v="2002.0392000000002"/>
    <n v="13124.479200000002"/>
  </r>
  <r>
    <s v="ORD-1358"/>
    <x v="87"/>
    <x v="1"/>
    <x v="2"/>
    <s v="Furniture"/>
    <s v="Dining Table"/>
    <x v="1"/>
    <n v="6"/>
    <n v="682.52"/>
    <n v="15"/>
    <n v="18"/>
    <s v="Returned"/>
    <n v="4095.12"/>
    <n v="614.26799999999992"/>
    <n v="626.55336"/>
    <n v="4107.4053599999997"/>
  </r>
  <r>
    <s v="ORD-1359"/>
    <x v="184"/>
    <x v="2"/>
    <x v="5"/>
    <s v="Electronics"/>
    <s v="Headphones"/>
    <x v="0"/>
    <n v="7"/>
    <n v="668.88"/>
    <n v="0"/>
    <n v="18"/>
    <s v="Completed"/>
    <n v="4682.16"/>
    <n v="0"/>
    <n v="842.78880000000004"/>
    <n v="5524.9488000000001"/>
  </r>
  <r>
    <s v="ORD-1360"/>
    <x v="229"/>
    <x v="0"/>
    <x v="3"/>
    <s v="Sports"/>
    <s v="Tennis Racket"/>
    <x v="3"/>
    <n v="7"/>
    <n v="108.77"/>
    <n v="15"/>
    <n v="18"/>
    <s v="Completed"/>
    <n v="761.39"/>
    <n v="114.2085"/>
    <n v="116.49267"/>
    <n v="763.67417"/>
  </r>
  <r>
    <s v="ORD-1361"/>
    <x v="237"/>
    <x v="3"/>
    <x v="7"/>
    <s v="Food &amp; Beverages"/>
    <s v="Organic Tea"/>
    <x v="1"/>
    <n v="6"/>
    <n v="596.15"/>
    <n v="20"/>
    <n v="18"/>
    <s v="Pending"/>
    <n v="3576.8999999999996"/>
    <n v="715.38"/>
    <n v="515.07359999999994"/>
    <n v="3376.5935999999992"/>
  </r>
  <r>
    <s v="ORD-1362"/>
    <x v="165"/>
    <x v="2"/>
    <x v="6"/>
    <s v="Sports"/>
    <s v="Running Shoes"/>
    <x v="1"/>
    <n v="11"/>
    <n v="1280"/>
    <n v="0"/>
    <n v="18"/>
    <s v="Completed"/>
    <n v="14080"/>
    <n v="0"/>
    <n v="2534.4"/>
    <n v="16614.400000000001"/>
  </r>
  <r>
    <s v="ORD-1363"/>
    <x v="68"/>
    <x v="1"/>
    <x v="4"/>
    <s v="Electronics"/>
    <s v="Tablet"/>
    <x v="2"/>
    <n v="6"/>
    <n v="1287.31"/>
    <n v="10"/>
    <n v="18"/>
    <s v="Completed"/>
    <n v="7723.86"/>
    <n v="772.38599999999997"/>
    <n v="1251.26532"/>
    <n v="8202.7393200000006"/>
  </r>
  <r>
    <s v="ORD-1364"/>
    <x v="86"/>
    <x v="0"/>
    <x v="2"/>
    <s v="Furniture"/>
    <s v="Office Chair"/>
    <x v="2"/>
    <n v="17"/>
    <n v="885.08"/>
    <n v="5"/>
    <n v="18"/>
    <s v="Completed"/>
    <n v="15046.36"/>
    <n v="752.31799999999998"/>
    <n v="2572.9275600000001"/>
    <n v="16866.969560000001"/>
  </r>
  <r>
    <s v="ORD-1365"/>
    <x v="236"/>
    <x v="3"/>
    <x v="2"/>
    <s v="Furniture"/>
    <s v="Wardrobe"/>
    <x v="1"/>
    <n v="43"/>
    <n v="694.14"/>
    <n v="15"/>
    <n v="18"/>
    <s v="Completed"/>
    <n v="29848.02"/>
    <n v="4477.2029999999995"/>
    <n v="4566.7470600000006"/>
    <n v="29937.564060000004"/>
  </r>
  <r>
    <s v="ORD-1366"/>
    <x v="154"/>
    <x v="3"/>
    <x v="5"/>
    <s v="Sports"/>
    <s v="Dumbbells"/>
    <x v="2"/>
    <n v="44"/>
    <n v="1735.12"/>
    <n v="10"/>
    <n v="18"/>
    <s v="Returned"/>
    <n v="76345.279999999999"/>
    <n v="7634.5280000000002"/>
    <n v="12367.935359999998"/>
    <n v="81078.687359999996"/>
  </r>
  <r>
    <s v="ORD-1367"/>
    <x v="18"/>
    <x v="0"/>
    <x v="6"/>
    <s v="Clothing"/>
    <s v="Dress"/>
    <x v="2"/>
    <n v="33"/>
    <n v="1146.73"/>
    <n v="15"/>
    <n v="18"/>
    <s v="Completed"/>
    <n v="37842.090000000004"/>
    <n v="5676.3135000000011"/>
    <n v="5789.8397700000005"/>
    <n v="37955.616270000006"/>
  </r>
  <r>
    <s v="ORD-1368"/>
    <x v="130"/>
    <x v="3"/>
    <x v="4"/>
    <s v="Sports"/>
    <s v="Dumbbells"/>
    <x v="0"/>
    <n v="14"/>
    <n v="1618.84"/>
    <n v="0"/>
    <n v="18"/>
    <s v="Completed"/>
    <n v="22663.759999999998"/>
    <n v="0"/>
    <n v="4079.4767999999999"/>
    <n v="26743.236799999999"/>
  </r>
  <r>
    <s v="ORD-1369"/>
    <x v="17"/>
    <x v="1"/>
    <x v="0"/>
    <s v="Food &amp; Beverages"/>
    <s v="Coffee Beans"/>
    <x v="0"/>
    <n v="17"/>
    <n v="646.29999999999995"/>
    <n v="20"/>
    <n v="18"/>
    <s v="Returned"/>
    <n v="10987.099999999999"/>
    <n v="2197.4199999999996"/>
    <n v="1582.1423999999997"/>
    <n v="10371.822399999997"/>
  </r>
  <r>
    <s v="ORD-1370"/>
    <x v="238"/>
    <x v="1"/>
    <x v="7"/>
    <s v="Electronics"/>
    <s v="Headphones"/>
    <x v="3"/>
    <n v="30"/>
    <n v="1835.15"/>
    <n v="0"/>
    <n v="18"/>
    <s v="Returned"/>
    <n v="55054.5"/>
    <n v="0"/>
    <n v="9909.81"/>
    <n v="64964.31"/>
  </r>
  <r>
    <s v="ORD-1371"/>
    <x v="28"/>
    <x v="1"/>
    <x v="6"/>
    <s v="Sports"/>
    <s v="Tennis Racket"/>
    <x v="2"/>
    <n v="10"/>
    <n v="1137.52"/>
    <n v="15"/>
    <n v="18"/>
    <s v="Completed"/>
    <n v="11375.2"/>
    <n v="1706.28"/>
    <n v="1740.4056"/>
    <n v="11409.3256"/>
  </r>
  <r>
    <s v="ORD-1372"/>
    <x v="18"/>
    <x v="3"/>
    <x v="3"/>
    <s v="Electronics"/>
    <s v="Smartwatch"/>
    <x v="3"/>
    <n v="17"/>
    <n v="772.26"/>
    <n v="10"/>
    <n v="18"/>
    <s v="Pending"/>
    <n v="13128.42"/>
    <n v="1312.8420000000001"/>
    <n v="2126.80404"/>
    <n v="13942.38204"/>
  </r>
  <r>
    <s v="ORD-1373"/>
    <x v="200"/>
    <x v="3"/>
    <x v="2"/>
    <s v="Sports"/>
    <s v="Running Shoes"/>
    <x v="3"/>
    <n v="10"/>
    <n v="1240.31"/>
    <n v="20"/>
    <n v="18"/>
    <s v="Pending"/>
    <n v="12403.099999999999"/>
    <n v="2480.62"/>
    <n v="1786.0463999999999"/>
    <n v="11708.526399999999"/>
  </r>
  <r>
    <s v="ORD-1374"/>
    <x v="239"/>
    <x v="1"/>
    <x v="7"/>
    <s v="Food &amp; Beverages"/>
    <s v="Coffee Beans"/>
    <x v="0"/>
    <n v="48"/>
    <n v="955.68"/>
    <n v="5"/>
    <n v="18"/>
    <s v="Completed"/>
    <n v="45872.639999999999"/>
    <n v="2293.6320000000001"/>
    <n v="7844.2214400000012"/>
    <n v="51423.229440000003"/>
  </r>
  <r>
    <s v="ORD-1375"/>
    <x v="240"/>
    <x v="0"/>
    <x v="3"/>
    <s v="Electronics"/>
    <s v="Tablet"/>
    <x v="3"/>
    <n v="45"/>
    <n v="1372.86"/>
    <n v="0"/>
    <n v="18"/>
    <s v="Pending"/>
    <n v="61778.7"/>
    <n v="0"/>
    <n v="11120.165999999999"/>
    <n v="72898.865999999995"/>
  </r>
  <r>
    <s v="ORD-1376"/>
    <x v="7"/>
    <x v="0"/>
    <x v="3"/>
    <s v="Furniture"/>
    <s v="Office Chair"/>
    <x v="2"/>
    <n v="42"/>
    <n v="187.68"/>
    <n v="10"/>
    <n v="18"/>
    <s v="Returned"/>
    <n v="7882.56"/>
    <n v="788.25600000000009"/>
    <n v="1276.9747200000002"/>
    <n v="8371.2787200000002"/>
  </r>
  <r>
    <s v="ORD-1377"/>
    <x v="241"/>
    <x v="0"/>
    <x v="1"/>
    <s v="Food &amp; Beverages"/>
    <s v="Energy Bar"/>
    <x v="0"/>
    <n v="20"/>
    <n v="1422.04"/>
    <n v="10"/>
    <n v="18"/>
    <s v="Completed"/>
    <n v="28440.799999999999"/>
    <n v="2844.08"/>
    <n v="4607.4096"/>
    <n v="30204.1296"/>
  </r>
  <r>
    <s v="ORD-1378"/>
    <x v="242"/>
    <x v="3"/>
    <x v="2"/>
    <s v="Sports"/>
    <s v="Tennis Racket"/>
    <x v="0"/>
    <n v="4"/>
    <n v="506.49"/>
    <n v="10"/>
    <n v="18"/>
    <s v="Completed"/>
    <n v="2025.96"/>
    <n v="202.59599999999998"/>
    <n v="328.20552000000004"/>
    <n v="2151.56952"/>
  </r>
  <r>
    <s v="ORD-1379"/>
    <x v="156"/>
    <x v="0"/>
    <x v="7"/>
    <s v="Furniture"/>
    <s v="Dining Table"/>
    <x v="2"/>
    <n v="26"/>
    <n v="1274.47"/>
    <n v="0"/>
    <n v="18"/>
    <s v="Returned"/>
    <n v="33136.22"/>
    <n v="0"/>
    <n v="5964.5195999999996"/>
    <n v="39100.739600000001"/>
  </r>
  <r>
    <s v="ORD-1380"/>
    <x v="243"/>
    <x v="0"/>
    <x v="4"/>
    <s v="Electronics"/>
    <s v="Smartphone"/>
    <x v="2"/>
    <n v="31"/>
    <n v="1177.8900000000001"/>
    <n v="5"/>
    <n v="18"/>
    <s v="Completed"/>
    <n v="36514.590000000004"/>
    <n v="1825.7295000000001"/>
    <n v="6243.9948900000009"/>
    <n v="40932.855390000004"/>
  </r>
  <r>
    <s v="ORD-1381"/>
    <x v="22"/>
    <x v="3"/>
    <x v="3"/>
    <s v="Clothing"/>
    <s v="Jacket"/>
    <x v="1"/>
    <n v="4"/>
    <n v="334.19"/>
    <n v="15"/>
    <n v="18"/>
    <s v="Pending"/>
    <n v="1336.76"/>
    <n v="200.51400000000001"/>
    <n v="204.52428"/>
    <n v="1340.7702800000002"/>
  </r>
  <r>
    <s v="ORD-1382"/>
    <x v="192"/>
    <x v="2"/>
    <x v="3"/>
    <s v="Clothing"/>
    <s v="Jeans"/>
    <x v="2"/>
    <n v="2"/>
    <n v="1730.61"/>
    <n v="20"/>
    <n v="18"/>
    <s v="Returned"/>
    <n v="3461.22"/>
    <n v="692.24399999999991"/>
    <n v="498.4156799999999"/>
    <n v="3267.3916799999997"/>
  </r>
  <r>
    <s v="ORD-1383"/>
    <x v="244"/>
    <x v="2"/>
    <x v="1"/>
    <s v="Food &amp; Beverages"/>
    <s v="Organic Tea"/>
    <x v="0"/>
    <n v="39"/>
    <n v="1612.12"/>
    <n v="5"/>
    <n v="18"/>
    <s v="Completed"/>
    <n v="62872.679999999993"/>
    <n v="3143.6339999999996"/>
    <n v="10751.228279999999"/>
    <n v="70480.274279999998"/>
  </r>
  <r>
    <s v="ORD-1384"/>
    <x v="245"/>
    <x v="1"/>
    <x v="7"/>
    <s v="Furniture"/>
    <s v="Office Chair"/>
    <x v="2"/>
    <n v="14"/>
    <n v="938.73"/>
    <n v="20"/>
    <n v="18"/>
    <s v="Completed"/>
    <n v="13142.220000000001"/>
    <n v="2628.4440000000004"/>
    <n v="1892.4796800000001"/>
    <n v="12406.255680000002"/>
  </r>
  <r>
    <s v="ORD-1385"/>
    <x v="246"/>
    <x v="3"/>
    <x v="1"/>
    <s v="Sports"/>
    <s v="Running Shoes"/>
    <x v="3"/>
    <n v="42"/>
    <n v="1191.6099999999999"/>
    <n v="5"/>
    <n v="18"/>
    <s v="Returned"/>
    <n v="50047.619999999995"/>
    <n v="2502.3809999999999"/>
    <n v="8558.1430199999995"/>
    <n v="56103.38201999999"/>
  </r>
  <r>
    <s v="ORD-1386"/>
    <x v="247"/>
    <x v="3"/>
    <x v="7"/>
    <s v="Electronics"/>
    <s v="Headphones"/>
    <x v="3"/>
    <n v="18"/>
    <n v="529.67999999999995"/>
    <n v="20"/>
    <n v="18"/>
    <s v="Completed"/>
    <n v="9534.24"/>
    <n v="1906.848"/>
    <n v="1372.9305599999998"/>
    <n v="9000.3225600000005"/>
  </r>
  <r>
    <s v="ORD-1387"/>
    <x v="194"/>
    <x v="2"/>
    <x v="0"/>
    <s v="Furniture"/>
    <s v="Dining Table"/>
    <x v="1"/>
    <n v="26"/>
    <n v="1324.46"/>
    <n v="20"/>
    <n v="18"/>
    <s v="Returned"/>
    <n v="34435.96"/>
    <n v="6887.1919999999991"/>
    <n v="4958.7782400000006"/>
    <n v="32507.54624"/>
  </r>
  <r>
    <s v="ORD-1388"/>
    <x v="248"/>
    <x v="0"/>
    <x v="3"/>
    <s v="Electronics"/>
    <s v="Headphones"/>
    <x v="2"/>
    <n v="25"/>
    <n v="1476.1"/>
    <n v="15"/>
    <n v="18"/>
    <s v="Pending"/>
    <n v="36902.5"/>
    <n v="5535.375"/>
    <n v="5646.0825000000004"/>
    <n v="37013.207500000004"/>
  </r>
  <r>
    <s v="ORD-1389"/>
    <x v="249"/>
    <x v="0"/>
    <x v="0"/>
    <s v="Sports"/>
    <s v="Dumbbells"/>
    <x v="2"/>
    <n v="33"/>
    <n v="607.39"/>
    <n v="0"/>
    <n v="18"/>
    <s v="Completed"/>
    <n v="20043.87"/>
    <n v="0"/>
    <n v="3607.8965999999996"/>
    <n v="23651.766599999999"/>
  </r>
  <r>
    <s v="ORD-1390"/>
    <x v="63"/>
    <x v="0"/>
    <x v="6"/>
    <s v="Sports"/>
    <s v="Dumbbells"/>
    <x v="2"/>
    <n v="48"/>
    <n v="524.72"/>
    <n v="15"/>
    <n v="18"/>
    <s v="Completed"/>
    <n v="25186.560000000001"/>
    <n v="3777.9840000000004"/>
    <n v="3853.5436800000002"/>
    <n v="25262.11968"/>
  </r>
  <r>
    <s v="ORD-1391"/>
    <x v="239"/>
    <x v="2"/>
    <x v="7"/>
    <s v="Furniture"/>
    <s v="Sofa"/>
    <x v="0"/>
    <n v="27"/>
    <n v="1578.3"/>
    <n v="5"/>
    <n v="18"/>
    <s v="Completed"/>
    <n v="42614.1"/>
    <n v="2130.7049999999999"/>
    <n v="7287.0110999999997"/>
    <n v="47770.406099999993"/>
  </r>
  <r>
    <s v="ORD-1392"/>
    <x v="147"/>
    <x v="0"/>
    <x v="4"/>
    <s v="Furniture"/>
    <s v="Wardrobe"/>
    <x v="1"/>
    <n v="4"/>
    <n v="1734.12"/>
    <n v="15"/>
    <n v="18"/>
    <s v="Pending"/>
    <n v="6936.48"/>
    <n v="1040.472"/>
    <n v="1061.28144"/>
    <n v="6957.2894399999996"/>
  </r>
  <r>
    <s v="ORD-1393"/>
    <x v="71"/>
    <x v="1"/>
    <x v="0"/>
    <s v="Sports"/>
    <s v="Yoga Mat"/>
    <x v="1"/>
    <n v="34"/>
    <n v="603.73"/>
    <n v="0"/>
    <n v="18"/>
    <s v="Pending"/>
    <n v="20526.82"/>
    <n v="0"/>
    <n v="3694.8276000000001"/>
    <n v="24221.6476"/>
  </r>
  <r>
    <s v="ORD-1394"/>
    <x v="25"/>
    <x v="0"/>
    <x v="5"/>
    <s v="Clothing"/>
    <s v="Jeans"/>
    <x v="2"/>
    <n v="21"/>
    <n v="1726.16"/>
    <n v="0"/>
    <n v="18"/>
    <s v="Completed"/>
    <n v="36249.360000000001"/>
    <n v="0"/>
    <n v="6524.8847999999998"/>
    <n v="42774.2448"/>
  </r>
  <r>
    <s v="ORD-1395"/>
    <x v="206"/>
    <x v="2"/>
    <x v="7"/>
    <s v="Food &amp; Beverages"/>
    <s v="Protein Shake"/>
    <x v="1"/>
    <n v="29"/>
    <n v="554.32000000000005"/>
    <n v="0"/>
    <n v="18"/>
    <s v="Completed"/>
    <n v="16075.28"/>
    <n v="0"/>
    <n v="2893.5504000000005"/>
    <n v="18968.830400000003"/>
  </r>
  <r>
    <s v="ORD-1396"/>
    <x v="222"/>
    <x v="3"/>
    <x v="2"/>
    <s v="Clothing"/>
    <s v="Dress"/>
    <x v="2"/>
    <n v="26"/>
    <n v="863.76"/>
    <n v="10"/>
    <n v="18"/>
    <s v="Pending"/>
    <n v="22457.759999999998"/>
    <n v="2245.7759999999998"/>
    <n v="3638.1571199999994"/>
    <n v="23850.141119999997"/>
  </r>
  <r>
    <s v="ORD-1397"/>
    <x v="250"/>
    <x v="2"/>
    <x v="7"/>
    <s v="Electronics"/>
    <s v="Laptop"/>
    <x v="1"/>
    <n v="49"/>
    <n v="1668.13"/>
    <n v="0"/>
    <n v="18"/>
    <s v="Completed"/>
    <n v="81738.37000000001"/>
    <n v="0"/>
    <n v="14712.906600000002"/>
    <n v="96451.276600000012"/>
  </r>
  <r>
    <s v="ORD-1398"/>
    <x v="66"/>
    <x v="2"/>
    <x v="7"/>
    <s v="Electronics"/>
    <s v="Smartphone"/>
    <x v="3"/>
    <n v="7"/>
    <n v="773.27"/>
    <n v="15"/>
    <n v="18"/>
    <s v="Completed"/>
    <n v="5412.8899999999994"/>
    <n v="811.93349999999987"/>
    <n v="828.17216999999994"/>
    <n v="5429.1286699999991"/>
  </r>
  <r>
    <s v="ORD-1399"/>
    <x v="53"/>
    <x v="3"/>
    <x v="3"/>
    <s v="Clothing"/>
    <s v="T-Shirt"/>
    <x v="3"/>
    <n v="47"/>
    <n v="1045.3699999999999"/>
    <n v="15"/>
    <n v="18"/>
    <s v="Pending"/>
    <n v="49132.389999999992"/>
    <n v="7369.8584999999985"/>
    <n v="7517.2556699999996"/>
    <n v="49279.787169999996"/>
  </r>
  <r>
    <s v="ORD-1400"/>
    <x v="250"/>
    <x v="0"/>
    <x v="4"/>
    <s v="Food &amp; Beverages"/>
    <s v="Organic Tea"/>
    <x v="3"/>
    <n v="11"/>
    <n v="1896.69"/>
    <n v="10"/>
    <n v="18"/>
    <s v="Completed"/>
    <n v="20863.59"/>
    <n v="2086.3589999999999"/>
    <n v="3379.9015799999997"/>
    <n v="22157.132579999998"/>
  </r>
  <r>
    <s v="ORD-1401"/>
    <x v="244"/>
    <x v="2"/>
    <x v="0"/>
    <s v="Clothing"/>
    <s v="Jeans"/>
    <x v="1"/>
    <n v="33"/>
    <n v="346.28"/>
    <n v="5"/>
    <n v="18"/>
    <s v="Returned"/>
    <n v="11427.24"/>
    <n v="571.36199999999997"/>
    <n v="1954.0580400000001"/>
    <n v="12809.936040000001"/>
  </r>
  <r>
    <s v="ORD-1402"/>
    <x v="65"/>
    <x v="0"/>
    <x v="1"/>
    <s v="Electronics"/>
    <s v="Headphones"/>
    <x v="1"/>
    <n v="42"/>
    <n v="1673.88"/>
    <n v="0"/>
    <n v="18"/>
    <s v="Completed"/>
    <n v="70302.960000000006"/>
    <n v="0"/>
    <n v="12654.532800000001"/>
    <n v="82957.492800000007"/>
  </r>
  <r>
    <s v="ORD-1403"/>
    <x v="251"/>
    <x v="1"/>
    <x v="5"/>
    <s v="Electronics"/>
    <s v="Headphones"/>
    <x v="1"/>
    <n v="17"/>
    <n v="954.05"/>
    <n v="0"/>
    <n v="18"/>
    <s v="Returned"/>
    <n v="16218.849999999999"/>
    <n v="0"/>
    <n v="2919.393"/>
    <n v="19138.242999999999"/>
  </r>
  <r>
    <s v="ORD-1404"/>
    <x v="252"/>
    <x v="1"/>
    <x v="6"/>
    <s v="Electronics"/>
    <s v="Tablet"/>
    <x v="3"/>
    <n v="39"/>
    <n v="1404.45"/>
    <n v="10"/>
    <n v="18"/>
    <s v="Returned"/>
    <n v="54773.55"/>
    <n v="5477.3549999999996"/>
    <n v="8873.3151000000016"/>
    <n v="58169.510100000007"/>
  </r>
  <r>
    <s v="ORD-1405"/>
    <x v="253"/>
    <x v="3"/>
    <x v="3"/>
    <s v="Sports"/>
    <s v="Tennis Racket"/>
    <x v="1"/>
    <n v="32"/>
    <n v="405.31"/>
    <n v="0"/>
    <n v="18"/>
    <s v="Completed"/>
    <n v="12969.92"/>
    <n v="0"/>
    <n v="2334.5855999999999"/>
    <n v="15304.5056"/>
  </r>
  <r>
    <s v="ORD-1406"/>
    <x v="6"/>
    <x v="0"/>
    <x v="5"/>
    <s v="Sports"/>
    <s v="Dumbbells"/>
    <x v="3"/>
    <n v="3"/>
    <n v="1100.8"/>
    <n v="0"/>
    <n v="18"/>
    <s v="Completed"/>
    <n v="3302.3999999999996"/>
    <n v="0"/>
    <n v="594.43200000000002"/>
    <n v="3896.8319999999994"/>
  </r>
  <r>
    <s v="ORD-1407"/>
    <x v="254"/>
    <x v="2"/>
    <x v="1"/>
    <s v="Food &amp; Beverages"/>
    <s v="Protein Shake"/>
    <x v="1"/>
    <n v="8"/>
    <n v="1672.11"/>
    <n v="20"/>
    <n v="18"/>
    <s v="Completed"/>
    <n v="13376.88"/>
    <n v="2675.3759999999997"/>
    <n v="1926.2707199999998"/>
    <n v="12627.774719999999"/>
  </r>
  <r>
    <s v="ORD-1408"/>
    <x v="27"/>
    <x v="3"/>
    <x v="6"/>
    <s v="Clothing"/>
    <s v="T-Shirt"/>
    <x v="3"/>
    <n v="30"/>
    <n v="1977.45"/>
    <n v="5"/>
    <n v="18"/>
    <s v="Completed"/>
    <n v="59323.5"/>
    <n v="2966.1750000000002"/>
    <n v="10144.318499999999"/>
    <n v="66501.643499999991"/>
  </r>
  <r>
    <s v="ORD-1409"/>
    <x v="255"/>
    <x v="3"/>
    <x v="2"/>
    <s v="Food &amp; Beverages"/>
    <s v="Coffee Beans"/>
    <x v="1"/>
    <n v="24"/>
    <n v="1605.18"/>
    <n v="5"/>
    <n v="18"/>
    <s v="Completed"/>
    <n v="38524.32"/>
    <n v="1926.2160000000001"/>
    <n v="6587.6587199999994"/>
    <n v="43185.762719999999"/>
  </r>
  <r>
    <s v="ORD-1410"/>
    <x v="256"/>
    <x v="3"/>
    <x v="1"/>
    <s v="Electronics"/>
    <s v="Laptop"/>
    <x v="0"/>
    <n v="22"/>
    <n v="721.48"/>
    <n v="10"/>
    <n v="18"/>
    <s v="Completed"/>
    <n v="15872.560000000001"/>
    <n v="1587.2560000000001"/>
    <n v="2571.3547200000003"/>
    <n v="16856.658720000003"/>
  </r>
  <r>
    <s v="ORD-1411"/>
    <x v="78"/>
    <x v="0"/>
    <x v="7"/>
    <s v="Furniture"/>
    <s v="Sofa"/>
    <x v="0"/>
    <n v="26"/>
    <n v="806.5"/>
    <n v="10"/>
    <n v="18"/>
    <s v="Completed"/>
    <n v="20969"/>
    <n v="2096.9"/>
    <n v="3396.9780000000001"/>
    <n v="22269.077999999998"/>
  </r>
  <r>
    <s v="ORD-1412"/>
    <x v="252"/>
    <x v="1"/>
    <x v="2"/>
    <s v="Food &amp; Beverages"/>
    <s v="Energy Bar"/>
    <x v="1"/>
    <n v="45"/>
    <n v="1455.56"/>
    <n v="0"/>
    <n v="18"/>
    <s v="Completed"/>
    <n v="65500.2"/>
    <n v="0"/>
    <n v="11790.035999999998"/>
    <n v="77290.23599999999"/>
  </r>
  <r>
    <s v="ORD-1413"/>
    <x v="257"/>
    <x v="1"/>
    <x v="4"/>
    <s v="Food &amp; Beverages"/>
    <s v="Juice Pack"/>
    <x v="0"/>
    <n v="25"/>
    <n v="1560.54"/>
    <n v="15"/>
    <n v="18"/>
    <s v="Returned"/>
    <n v="39013.5"/>
    <n v="5852.0249999999996"/>
    <n v="5969.0654999999997"/>
    <n v="39130.540499999996"/>
  </r>
  <r>
    <s v="ORD-1414"/>
    <x v="123"/>
    <x v="1"/>
    <x v="6"/>
    <s v="Clothing"/>
    <s v="Dress"/>
    <x v="2"/>
    <n v="3"/>
    <n v="136.04"/>
    <n v="20"/>
    <n v="18"/>
    <s v="Pending"/>
    <n v="408.12"/>
    <n v="81.623999999999995"/>
    <n v="58.769280000000002"/>
    <n v="385.26527999999996"/>
  </r>
  <r>
    <s v="ORD-1415"/>
    <x v="258"/>
    <x v="2"/>
    <x v="7"/>
    <s v="Electronics"/>
    <s v="Smartwatch"/>
    <x v="1"/>
    <n v="43"/>
    <n v="1456.04"/>
    <n v="10"/>
    <n v="18"/>
    <s v="Pending"/>
    <n v="62609.72"/>
    <n v="6260.9719999999998"/>
    <n v="10142.77464"/>
    <n v="66491.522639999996"/>
  </r>
  <r>
    <s v="ORD-1416"/>
    <x v="259"/>
    <x v="3"/>
    <x v="1"/>
    <s v="Food &amp; Beverages"/>
    <s v="Organic Tea"/>
    <x v="0"/>
    <n v="31"/>
    <n v="1705.22"/>
    <n v="0"/>
    <n v="18"/>
    <s v="Returned"/>
    <n v="52861.82"/>
    <n v="0"/>
    <n v="9515.1275999999998"/>
    <n v="62376.9476"/>
  </r>
  <r>
    <s v="ORD-1417"/>
    <x v="201"/>
    <x v="2"/>
    <x v="7"/>
    <s v="Food &amp; Beverages"/>
    <s v="Protein Shake"/>
    <x v="3"/>
    <n v="33"/>
    <n v="453.19"/>
    <n v="20"/>
    <n v="18"/>
    <s v="Completed"/>
    <n v="14955.27"/>
    <n v="2991.0540000000001"/>
    <n v="2153.55888"/>
    <n v="14117.774880000001"/>
  </r>
  <r>
    <s v="ORD-1418"/>
    <x v="151"/>
    <x v="3"/>
    <x v="4"/>
    <s v="Food &amp; Beverages"/>
    <s v="Organic Tea"/>
    <x v="2"/>
    <n v="29"/>
    <n v="185.16"/>
    <n v="10"/>
    <n v="18"/>
    <s v="Returned"/>
    <n v="5369.64"/>
    <n v="536.96400000000006"/>
    <n v="869.88168000000007"/>
    <n v="5702.5576800000008"/>
  </r>
  <r>
    <s v="ORD-1419"/>
    <x v="260"/>
    <x v="1"/>
    <x v="1"/>
    <s v="Furniture"/>
    <s v="Sofa"/>
    <x v="1"/>
    <n v="27"/>
    <n v="81.31"/>
    <n v="15"/>
    <n v="18"/>
    <s v="Pending"/>
    <n v="2195.37"/>
    <n v="329.30549999999994"/>
    <n v="335.89161000000001"/>
    <n v="2201.9561100000001"/>
  </r>
  <r>
    <s v="ORD-1420"/>
    <x v="11"/>
    <x v="0"/>
    <x v="0"/>
    <s v="Electronics"/>
    <s v="Smartwatch"/>
    <x v="2"/>
    <n v="24"/>
    <n v="1652.37"/>
    <n v="0"/>
    <n v="18"/>
    <s v="Completed"/>
    <n v="39656.879999999997"/>
    <n v="0"/>
    <n v="7138.2383999999993"/>
    <n v="46795.118399999999"/>
  </r>
  <r>
    <s v="ORD-1421"/>
    <x v="180"/>
    <x v="1"/>
    <x v="7"/>
    <s v="Furniture"/>
    <s v="Wardrobe"/>
    <x v="2"/>
    <n v="7"/>
    <n v="1521.05"/>
    <n v="0"/>
    <n v="18"/>
    <s v="Completed"/>
    <n v="10647.35"/>
    <n v="0"/>
    <n v="1916.5230000000001"/>
    <n v="12563.873"/>
  </r>
  <r>
    <s v="ORD-1422"/>
    <x v="184"/>
    <x v="0"/>
    <x v="7"/>
    <s v="Furniture"/>
    <s v="Bookshelf"/>
    <x v="1"/>
    <n v="11"/>
    <n v="989.92"/>
    <n v="20"/>
    <n v="18"/>
    <s v="Completed"/>
    <n v="10889.119999999999"/>
    <n v="2177.8239999999996"/>
    <n v="1568.0332799999999"/>
    <n v="10279.329279999998"/>
  </r>
  <r>
    <s v="ORD-1423"/>
    <x v="150"/>
    <x v="2"/>
    <x v="0"/>
    <s v="Electronics"/>
    <s v="Tablet"/>
    <x v="1"/>
    <n v="14"/>
    <n v="919.52"/>
    <n v="0"/>
    <n v="18"/>
    <s v="Pending"/>
    <n v="12873.279999999999"/>
    <n v="0"/>
    <n v="2317.1904"/>
    <n v="15190.470399999998"/>
  </r>
  <r>
    <s v="ORD-1424"/>
    <x v="240"/>
    <x v="3"/>
    <x v="6"/>
    <s v="Electronics"/>
    <s v="Headphones"/>
    <x v="2"/>
    <n v="43"/>
    <n v="1182.74"/>
    <n v="15"/>
    <n v="18"/>
    <s v="Pending"/>
    <n v="50857.82"/>
    <n v="7628.6730000000007"/>
    <n v="7781.2464599999994"/>
    <n v="51010.393459999999"/>
  </r>
  <r>
    <s v="ORD-1425"/>
    <x v="137"/>
    <x v="3"/>
    <x v="5"/>
    <s v="Food &amp; Beverages"/>
    <s v="Coffee Beans"/>
    <x v="2"/>
    <n v="50"/>
    <n v="1843.11"/>
    <n v="0"/>
    <n v="18"/>
    <s v="Returned"/>
    <n v="92155.5"/>
    <n v="0"/>
    <n v="16587.990000000002"/>
    <n v="108743.49"/>
  </r>
  <r>
    <s v="ORD-1426"/>
    <x v="222"/>
    <x v="2"/>
    <x v="6"/>
    <s v="Sports"/>
    <s v="Dumbbells"/>
    <x v="2"/>
    <n v="39"/>
    <n v="1766.56"/>
    <n v="15"/>
    <n v="18"/>
    <s v="Returned"/>
    <n v="68895.839999999997"/>
    <n v="10334.376"/>
    <n v="10541.06352"/>
    <n v="69102.527519999989"/>
  </r>
  <r>
    <s v="ORD-1427"/>
    <x v="261"/>
    <x v="2"/>
    <x v="3"/>
    <s v="Food &amp; Beverages"/>
    <s v="Juice Pack"/>
    <x v="2"/>
    <n v="19"/>
    <n v="911.16"/>
    <n v="0"/>
    <n v="18"/>
    <s v="Completed"/>
    <n v="17312.04"/>
    <n v="0"/>
    <n v="3116.1672000000003"/>
    <n v="20428.207200000001"/>
  </r>
  <r>
    <s v="ORD-1428"/>
    <x v="40"/>
    <x v="0"/>
    <x v="7"/>
    <s v="Food &amp; Beverages"/>
    <s v="Juice Pack"/>
    <x v="0"/>
    <n v="14"/>
    <n v="1252.0899999999999"/>
    <n v="5"/>
    <n v="18"/>
    <s v="Completed"/>
    <n v="17529.259999999998"/>
    <n v="876.46299999999985"/>
    <n v="2997.5034599999994"/>
    <n v="19650.300459999999"/>
  </r>
  <r>
    <s v="ORD-1429"/>
    <x v="48"/>
    <x v="2"/>
    <x v="7"/>
    <s v="Furniture"/>
    <s v="Dining Table"/>
    <x v="1"/>
    <n v="36"/>
    <n v="965.94"/>
    <n v="15"/>
    <n v="18"/>
    <s v="Completed"/>
    <n v="34773.840000000004"/>
    <n v="5216.076"/>
    <n v="5320.3975200000014"/>
    <n v="34878.161520000001"/>
  </r>
  <r>
    <s v="ORD-1430"/>
    <x v="262"/>
    <x v="0"/>
    <x v="5"/>
    <s v="Food &amp; Beverages"/>
    <s v="Juice Pack"/>
    <x v="1"/>
    <n v="7"/>
    <n v="60.29"/>
    <n v="0"/>
    <n v="18"/>
    <s v="Returned"/>
    <n v="422.03"/>
    <n v="0"/>
    <n v="75.965399999999988"/>
    <n v="497.99539999999996"/>
  </r>
  <r>
    <s v="ORD-1431"/>
    <x v="263"/>
    <x v="0"/>
    <x v="2"/>
    <s v="Electronics"/>
    <s v="Smartphone"/>
    <x v="3"/>
    <n v="10"/>
    <n v="1680.37"/>
    <n v="20"/>
    <n v="18"/>
    <s v="Completed"/>
    <n v="16803.699999999997"/>
    <n v="3360.7399999999993"/>
    <n v="2419.7327999999993"/>
    <n v="15862.692799999997"/>
  </r>
  <r>
    <s v="ORD-1432"/>
    <x v="8"/>
    <x v="3"/>
    <x v="7"/>
    <s v="Clothing"/>
    <s v="Sneakers"/>
    <x v="2"/>
    <n v="40"/>
    <n v="1737.39"/>
    <n v="20"/>
    <n v="18"/>
    <s v="Completed"/>
    <n v="69495.600000000006"/>
    <n v="13899.12"/>
    <n v="10007.366400000001"/>
    <n v="65603.846400000009"/>
  </r>
  <r>
    <s v="ORD-1433"/>
    <x v="123"/>
    <x v="1"/>
    <x v="0"/>
    <s v="Clothing"/>
    <s v="Sneakers"/>
    <x v="3"/>
    <n v="25"/>
    <n v="781.23"/>
    <n v="20"/>
    <n v="18"/>
    <s v="Completed"/>
    <n v="19530.75"/>
    <n v="3906.15"/>
    <n v="2812.4279999999999"/>
    <n v="18437.027999999998"/>
  </r>
  <r>
    <s v="ORD-1434"/>
    <x v="86"/>
    <x v="3"/>
    <x v="3"/>
    <s v="Sports"/>
    <s v="Yoga Mat"/>
    <x v="0"/>
    <n v="50"/>
    <n v="1722.29"/>
    <n v="10"/>
    <n v="18"/>
    <s v="Returned"/>
    <n v="86114.5"/>
    <n v="8611.4500000000007"/>
    <n v="13950.549000000001"/>
    <n v="91453.599000000002"/>
  </r>
  <r>
    <s v="ORD-1435"/>
    <x v="145"/>
    <x v="2"/>
    <x v="0"/>
    <s v="Furniture"/>
    <s v="Wardrobe"/>
    <x v="3"/>
    <n v="12"/>
    <n v="1967.07"/>
    <n v="0"/>
    <n v="18"/>
    <s v="Pending"/>
    <n v="23604.84"/>
    <n v="0"/>
    <n v="4248.8711999999996"/>
    <n v="27853.711199999998"/>
  </r>
  <r>
    <s v="ORD-1436"/>
    <x v="12"/>
    <x v="3"/>
    <x v="5"/>
    <s v="Clothing"/>
    <s v="Sneakers"/>
    <x v="1"/>
    <n v="18"/>
    <n v="1117.6300000000001"/>
    <n v="0"/>
    <n v="18"/>
    <s v="Pending"/>
    <n v="20117.340000000004"/>
    <n v="0"/>
    <n v="3621.1212000000005"/>
    <n v="23738.461200000005"/>
  </r>
  <r>
    <s v="ORD-1437"/>
    <x v="72"/>
    <x v="3"/>
    <x v="7"/>
    <s v="Sports"/>
    <s v="Cycling Helmet"/>
    <x v="2"/>
    <n v="3"/>
    <n v="315.87"/>
    <n v="5"/>
    <n v="18"/>
    <s v="Completed"/>
    <n v="947.61"/>
    <n v="47.380500000000005"/>
    <n v="162.04131000000001"/>
    <n v="1062.27081"/>
  </r>
  <r>
    <s v="ORD-1438"/>
    <x v="68"/>
    <x v="0"/>
    <x v="4"/>
    <s v="Electronics"/>
    <s v="Smartwatch"/>
    <x v="3"/>
    <n v="46"/>
    <n v="642.54"/>
    <n v="0"/>
    <n v="18"/>
    <s v="Completed"/>
    <n v="29556.839999999997"/>
    <n v="0"/>
    <n v="5320.2311999999984"/>
    <n v="34877.071199999991"/>
  </r>
  <r>
    <s v="ORD-1439"/>
    <x v="225"/>
    <x v="2"/>
    <x v="5"/>
    <s v="Sports"/>
    <s v="Yoga Mat"/>
    <x v="2"/>
    <n v="23"/>
    <n v="450.18"/>
    <n v="0"/>
    <n v="18"/>
    <s v="Completed"/>
    <n v="10354.14"/>
    <n v="0"/>
    <n v="1863.7451999999998"/>
    <n v="12217.885199999999"/>
  </r>
  <r>
    <s v="ORD-1440"/>
    <x v="142"/>
    <x v="0"/>
    <x v="3"/>
    <s v="Furniture"/>
    <s v="Bookshelf"/>
    <x v="0"/>
    <n v="34"/>
    <n v="954.97"/>
    <n v="15"/>
    <n v="18"/>
    <s v="Returned"/>
    <n v="32468.98"/>
    <n v="4870.3469999999998"/>
    <n v="4967.7539400000005"/>
    <n v="32566.386940000004"/>
  </r>
  <r>
    <s v="ORD-1441"/>
    <x v="218"/>
    <x v="0"/>
    <x v="4"/>
    <s v="Electronics"/>
    <s v="Laptop"/>
    <x v="0"/>
    <n v="40"/>
    <n v="495.22"/>
    <n v="0"/>
    <n v="18"/>
    <s v="Returned"/>
    <n v="19808.800000000003"/>
    <n v="0"/>
    <n v="3565.5840000000003"/>
    <n v="23374.384000000002"/>
  </r>
  <r>
    <s v="ORD-1442"/>
    <x v="146"/>
    <x v="3"/>
    <x v="5"/>
    <s v="Furniture"/>
    <s v="Office Chair"/>
    <x v="3"/>
    <n v="47"/>
    <n v="572.83000000000004"/>
    <n v="15"/>
    <n v="18"/>
    <s v="Returned"/>
    <n v="26923.010000000002"/>
    <n v="4038.4515000000001"/>
    <n v="4119.2205300000005"/>
    <n v="27003.779030000005"/>
  </r>
  <r>
    <s v="ORD-1443"/>
    <x v="54"/>
    <x v="1"/>
    <x v="4"/>
    <s v="Sports"/>
    <s v="Tennis Racket"/>
    <x v="1"/>
    <n v="42"/>
    <n v="393.1"/>
    <n v="15"/>
    <n v="18"/>
    <s v="Completed"/>
    <n v="16510.2"/>
    <n v="2476.5300000000002"/>
    <n v="2526.0605999999998"/>
    <n v="16559.730599999999"/>
  </r>
  <r>
    <s v="ORD-1444"/>
    <x v="251"/>
    <x v="3"/>
    <x v="6"/>
    <s v="Electronics"/>
    <s v="Smartphone"/>
    <x v="0"/>
    <n v="44"/>
    <n v="854.18"/>
    <n v="0"/>
    <n v="18"/>
    <s v="Completed"/>
    <n v="37583.919999999998"/>
    <n v="0"/>
    <n v="6765.105599999999"/>
    <n v="44349.025599999994"/>
  </r>
  <r>
    <s v="ORD-1445"/>
    <x v="177"/>
    <x v="3"/>
    <x v="2"/>
    <s v="Sports"/>
    <s v="Running Shoes"/>
    <x v="1"/>
    <n v="46"/>
    <n v="670.11"/>
    <n v="0"/>
    <n v="18"/>
    <s v="Pending"/>
    <n v="30825.06"/>
    <n v="0"/>
    <n v="5548.5108000000009"/>
    <n v="36373.570800000001"/>
  </r>
  <r>
    <s v="ORD-1446"/>
    <x v="264"/>
    <x v="0"/>
    <x v="6"/>
    <s v="Electronics"/>
    <s v="Smartphone"/>
    <x v="0"/>
    <n v="27"/>
    <n v="782.18"/>
    <n v="20"/>
    <n v="18"/>
    <s v="Completed"/>
    <n v="21118.859999999997"/>
    <n v="4223.7719999999999"/>
    <n v="3041.115839999999"/>
    <n v="19936.203839999995"/>
  </r>
  <r>
    <s v="ORD-1447"/>
    <x v="111"/>
    <x v="3"/>
    <x v="5"/>
    <s v="Food &amp; Beverages"/>
    <s v="Protein Shake"/>
    <x v="1"/>
    <n v="1"/>
    <n v="1286.43"/>
    <n v="15"/>
    <n v="18"/>
    <s v="Returned"/>
    <n v="1286.43"/>
    <n v="192.96450000000002"/>
    <n v="196.82379"/>
    <n v="1290.2892899999999"/>
  </r>
  <r>
    <s v="ORD-1448"/>
    <x v="161"/>
    <x v="3"/>
    <x v="7"/>
    <s v="Sports"/>
    <s v="Yoga Mat"/>
    <x v="1"/>
    <n v="44"/>
    <n v="609.69000000000005"/>
    <n v="0"/>
    <n v="18"/>
    <s v="Completed"/>
    <n v="26826.36"/>
    <n v="0"/>
    <n v="4828.7447999999995"/>
    <n v="31655.104800000001"/>
  </r>
  <r>
    <s v="ORD-1449"/>
    <x v="216"/>
    <x v="1"/>
    <x v="1"/>
    <s v="Food &amp; Beverages"/>
    <s v="Energy Bar"/>
    <x v="2"/>
    <n v="35"/>
    <n v="447.53"/>
    <n v="20"/>
    <n v="18"/>
    <s v="Completed"/>
    <n v="15663.55"/>
    <n v="3132.71"/>
    <n v="2255.5511999999999"/>
    <n v="14786.3912"/>
  </r>
  <r>
    <s v="ORD-1450"/>
    <x v="104"/>
    <x v="2"/>
    <x v="3"/>
    <s v="Sports"/>
    <s v="Cycling Helmet"/>
    <x v="3"/>
    <n v="36"/>
    <n v="1750.79"/>
    <n v="0"/>
    <n v="18"/>
    <s v="Completed"/>
    <n v="63028.44"/>
    <n v="0"/>
    <n v="11345.119199999999"/>
    <n v="74373.559200000003"/>
  </r>
  <r>
    <s v="ORD-1451"/>
    <x v="243"/>
    <x v="1"/>
    <x v="6"/>
    <s v="Electronics"/>
    <s v="Laptop"/>
    <x v="3"/>
    <n v="48"/>
    <n v="1485.45"/>
    <n v="20"/>
    <n v="18"/>
    <s v="Completed"/>
    <n v="71301.600000000006"/>
    <n v="14260.32"/>
    <n v="10267.430400000001"/>
    <n v="67308.710400000011"/>
  </r>
  <r>
    <s v="ORD-1452"/>
    <x v="115"/>
    <x v="2"/>
    <x v="2"/>
    <s v="Clothing"/>
    <s v="Dress"/>
    <x v="0"/>
    <n v="40"/>
    <n v="1671.15"/>
    <n v="0"/>
    <n v="18"/>
    <s v="Completed"/>
    <n v="66846"/>
    <n v="0"/>
    <n v="12032.28"/>
    <n v="78878.28"/>
  </r>
  <r>
    <s v="ORD-1453"/>
    <x v="126"/>
    <x v="3"/>
    <x v="4"/>
    <s v="Clothing"/>
    <s v="Sneakers"/>
    <x v="1"/>
    <n v="43"/>
    <n v="144.05000000000001"/>
    <n v="0"/>
    <n v="18"/>
    <s v="Completed"/>
    <n v="6194.1500000000005"/>
    <n v="0"/>
    <n v="1114.9470000000001"/>
    <n v="7309.0970000000007"/>
  </r>
  <r>
    <s v="ORD-1454"/>
    <x v="265"/>
    <x v="0"/>
    <x v="7"/>
    <s v="Sports"/>
    <s v="Running Shoes"/>
    <x v="0"/>
    <n v="7"/>
    <n v="577.41999999999996"/>
    <n v="0"/>
    <n v="18"/>
    <s v="Completed"/>
    <n v="4041.9399999999996"/>
    <n v="0"/>
    <n v="727.54919999999993"/>
    <n v="4769.4892"/>
  </r>
  <r>
    <s v="ORD-1455"/>
    <x v="266"/>
    <x v="1"/>
    <x v="7"/>
    <s v="Furniture"/>
    <s v="Office Chair"/>
    <x v="3"/>
    <n v="10"/>
    <n v="1135.45"/>
    <n v="5"/>
    <n v="18"/>
    <s v="Returned"/>
    <n v="11354.5"/>
    <n v="567.72500000000002"/>
    <n v="1941.6194999999998"/>
    <n v="12728.394499999999"/>
  </r>
  <r>
    <s v="ORD-1456"/>
    <x v="181"/>
    <x v="3"/>
    <x v="7"/>
    <s v="Food &amp; Beverages"/>
    <s v="Organic Tea"/>
    <x v="0"/>
    <n v="46"/>
    <n v="1482.23"/>
    <n v="10"/>
    <n v="18"/>
    <s v="Completed"/>
    <n v="68182.58"/>
    <n v="6818.2580000000007"/>
    <n v="11045.577960000001"/>
    <n v="72409.899959999995"/>
  </r>
  <r>
    <s v="ORD-1457"/>
    <x v="267"/>
    <x v="0"/>
    <x v="4"/>
    <s v="Furniture"/>
    <s v="Dining Table"/>
    <x v="2"/>
    <n v="23"/>
    <n v="1551.79"/>
    <n v="10"/>
    <n v="18"/>
    <s v="Pending"/>
    <n v="35691.17"/>
    <n v="3569.1169999999997"/>
    <n v="5781.9695400000001"/>
    <n v="37904.022539999998"/>
  </r>
  <r>
    <s v="ORD-1458"/>
    <x v="221"/>
    <x v="3"/>
    <x v="3"/>
    <s v="Electronics"/>
    <s v="Smartphone"/>
    <x v="0"/>
    <n v="13"/>
    <n v="533.84"/>
    <n v="20"/>
    <n v="18"/>
    <s v="Returned"/>
    <n v="6939.92"/>
    <n v="1387.9839999999999"/>
    <n v="999.34848"/>
    <n v="6551.2844799999993"/>
  </r>
  <r>
    <s v="ORD-1459"/>
    <x v="268"/>
    <x v="3"/>
    <x v="5"/>
    <s v="Electronics"/>
    <s v="Laptop"/>
    <x v="0"/>
    <n v="36"/>
    <n v="528.63"/>
    <n v="15"/>
    <n v="18"/>
    <s v="Completed"/>
    <n v="19030.68"/>
    <n v="2854.6020000000003"/>
    <n v="2911.6940399999999"/>
    <n v="19087.77204"/>
  </r>
  <r>
    <s v="ORD-1460"/>
    <x v="173"/>
    <x v="1"/>
    <x v="0"/>
    <s v="Clothing"/>
    <s v="Jacket"/>
    <x v="3"/>
    <n v="30"/>
    <n v="1007.24"/>
    <n v="0"/>
    <n v="18"/>
    <s v="Completed"/>
    <n v="30217.200000000001"/>
    <n v="0"/>
    <n v="5439.0959999999995"/>
    <n v="35656.296000000002"/>
  </r>
  <r>
    <s v="ORD-1461"/>
    <x v="99"/>
    <x v="3"/>
    <x v="0"/>
    <s v="Furniture"/>
    <s v="Wardrobe"/>
    <x v="0"/>
    <n v="9"/>
    <n v="897.98"/>
    <n v="0"/>
    <n v="18"/>
    <s v="Returned"/>
    <n v="8081.82"/>
    <n v="0"/>
    <n v="1454.7276000000002"/>
    <n v="9536.5475999999999"/>
  </r>
  <r>
    <s v="ORD-1462"/>
    <x v="27"/>
    <x v="1"/>
    <x v="7"/>
    <s v="Sports"/>
    <s v="Dumbbells"/>
    <x v="1"/>
    <n v="49"/>
    <n v="980.41"/>
    <n v="0"/>
    <n v="18"/>
    <s v="Completed"/>
    <n v="48040.09"/>
    <n v="0"/>
    <n v="8647.2161999999989"/>
    <n v="56687.306199999992"/>
  </r>
  <r>
    <s v="ORD-1463"/>
    <x v="26"/>
    <x v="3"/>
    <x v="0"/>
    <s v="Furniture"/>
    <s v="Dining Table"/>
    <x v="3"/>
    <n v="31"/>
    <n v="1836.62"/>
    <n v="0"/>
    <n v="18"/>
    <s v="Pending"/>
    <n v="56935.219999999994"/>
    <n v="0"/>
    <n v="10248.339599999999"/>
    <n v="67183.559599999993"/>
  </r>
  <r>
    <s v="ORD-1464"/>
    <x v="208"/>
    <x v="0"/>
    <x v="3"/>
    <s v="Furniture"/>
    <s v="Sofa"/>
    <x v="0"/>
    <n v="42"/>
    <n v="763.25"/>
    <n v="15"/>
    <n v="18"/>
    <s v="Pending"/>
    <n v="32056.5"/>
    <n v="4808.4750000000004"/>
    <n v="4904.6445000000003"/>
    <n v="32152.669500000004"/>
  </r>
  <r>
    <s v="ORD-1465"/>
    <x v="93"/>
    <x v="0"/>
    <x v="5"/>
    <s v="Electronics"/>
    <s v="Smartwatch"/>
    <x v="0"/>
    <n v="26"/>
    <n v="712.27"/>
    <n v="5"/>
    <n v="18"/>
    <s v="Returned"/>
    <n v="18519.02"/>
    <n v="925.95100000000002"/>
    <n v="3166.7524199999998"/>
    <n v="20759.82142"/>
  </r>
  <r>
    <s v="ORD-1466"/>
    <x v="269"/>
    <x v="3"/>
    <x v="2"/>
    <s v="Food &amp; Beverages"/>
    <s v="Juice Pack"/>
    <x v="2"/>
    <n v="15"/>
    <n v="163.41"/>
    <n v="20"/>
    <n v="18"/>
    <s v="Completed"/>
    <n v="2451.15"/>
    <n v="490.23"/>
    <n v="352.96559999999999"/>
    <n v="2313.8856000000001"/>
  </r>
  <r>
    <s v="ORD-1467"/>
    <x v="122"/>
    <x v="2"/>
    <x v="2"/>
    <s v="Clothing"/>
    <s v="Jeans"/>
    <x v="3"/>
    <n v="46"/>
    <n v="1635.74"/>
    <n v="20"/>
    <n v="18"/>
    <s v="Returned"/>
    <n v="75244.039999999994"/>
    <n v="15048.807999999997"/>
    <n v="10835.14176"/>
    <n v="71030.373760000002"/>
  </r>
  <r>
    <s v="ORD-1468"/>
    <x v="270"/>
    <x v="3"/>
    <x v="4"/>
    <s v="Food &amp; Beverages"/>
    <s v="Protein Shake"/>
    <x v="2"/>
    <n v="14"/>
    <n v="1185.67"/>
    <n v="20"/>
    <n v="18"/>
    <s v="Pending"/>
    <n v="16599.38"/>
    <n v="3319.8760000000002"/>
    <n v="2390.3107199999999"/>
    <n v="15669.81472"/>
  </r>
  <r>
    <s v="ORD-1469"/>
    <x v="271"/>
    <x v="3"/>
    <x v="2"/>
    <s v="Electronics"/>
    <s v="Smartphone"/>
    <x v="0"/>
    <n v="41"/>
    <n v="1030.1600000000001"/>
    <n v="15"/>
    <n v="18"/>
    <s v="Completed"/>
    <n v="42236.560000000005"/>
    <n v="6335.4840000000004"/>
    <n v="6462.1936800000003"/>
    <n v="42363.269679999998"/>
  </r>
  <r>
    <s v="ORD-1470"/>
    <x v="272"/>
    <x v="0"/>
    <x v="2"/>
    <s v="Electronics"/>
    <s v="Smartphone"/>
    <x v="2"/>
    <n v="37"/>
    <n v="1278.8699999999999"/>
    <n v="20"/>
    <n v="18"/>
    <s v="Returned"/>
    <n v="47318.189999999995"/>
    <n v="9463.637999999999"/>
    <n v="6813.8193599999995"/>
    <n v="44668.371359999997"/>
  </r>
  <r>
    <s v="ORD-1471"/>
    <x v="59"/>
    <x v="2"/>
    <x v="4"/>
    <s v="Furniture"/>
    <s v="Sofa"/>
    <x v="2"/>
    <n v="11"/>
    <n v="446.53"/>
    <n v="10"/>
    <n v="18"/>
    <s v="Pending"/>
    <n v="4911.83"/>
    <n v="491.18300000000005"/>
    <n v="795.71645999999998"/>
    <n v="5216.3634599999996"/>
  </r>
  <r>
    <s v="ORD-1472"/>
    <x v="122"/>
    <x v="2"/>
    <x v="3"/>
    <s v="Clothing"/>
    <s v="Sneakers"/>
    <x v="0"/>
    <n v="30"/>
    <n v="1197.0999999999999"/>
    <n v="0"/>
    <n v="18"/>
    <s v="Completed"/>
    <n v="35913"/>
    <n v="0"/>
    <n v="6464.34"/>
    <n v="42377.34"/>
  </r>
  <r>
    <s v="ORD-1473"/>
    <x v="134"/>
    <x v="2"/>
    <x v="6"/>
    <s v="Food &amp; Beverages"/>
    <s v="Energy Bar"/>
    <x v="1"/>
    <n v="34"/>
    <n v="1720.59"/>
    <n v="15"/>
    <n v="18"/>
    <s v="Completed"/>
    <n v="58500.06"/>
    <n v="8775.0089999999982"/>
    <n v="8950.5091799999991"/>
    <n v="58675.56018"/>
  </r>
  <r>
    <s v="ORD-1474"/>
    <x v="141"/>
    <x v="3"/>
    <x v="2"/>
    <s v="Food &amp; Beverages"/>
    <s v="Organic Tea"/>
    <x v="2"/>
    <n v="39"/>
    <n v="87.68"/>
    <n v="15"/>
    <n v="18"/>
    <s v="Returned"/>
    <n v="3419.5200000000004"/>
    <n v="512.928"/>
    <n v="523.1865600000001"/>
    <n v="3429.7785600000007"/>
  </r>
  <r>
    <s v="ORD-1475"/>
    <x v="233"/>
    <x v="1"/>
    <x v="2"/>
    <s v="Electronics"/>
    <s v="Laptop"/>
    <x v="1"/>
    <n v="34"/>
    <n v="847.16"/>
    <n v="0"/>
    <n v="18"/>
    <s v="Pending"/>
    <n v="28803.439999999999"/>
    <n v="0"/>
    <n v="5184.6192000000001"/>
    <n v="33988.059199999996"/>
  </r>
  <r>
    <s v="ORD-1476"/>
    <x v="58"/>
    <x v="2"/>
    <x v="4"/>
    <s v="Sports"/>
    <s v="Running Shoes"/>
    <x v="2"/>
    <n v="38"/>
    <n v="1611.2"/>
    <n v="20"/>
    <n v="18"/>
    <s v="Completed"/>
    <n v="61225.599999999999"/>
    <n v="12245.12"/>
    <n v="8816.4863999999998"/>
    <n v="57796.966399999998"/>
  </r>
  <r>
    <s v="ORD-1477"/>
    <x v="184"/>
    <x v="2"/>
    <x v="3"/>
    <s v="Electronics"/>
    <s v="Headphones"/>
    <x v="2"/>
    <n v="6"/>
    <n v="573.70000000000005"/>
    <n v="15"/>
    <n v="18"/>
    <s v="Completed"/>
    <n v="3442.2000000000003"/>
    <n v="516.33000000000004"/>
    <n v="526.65660000000003"/>
    <n v="3452.5266000000001"/>
  </r>
  <r>
    <s v="ORD-1478"/>
    <x v="6"/>
    <x v="3"/>
    <x v="1"/>
    <s v="Furniture"/>
    <s v="Dining Table"/>
    <x v="1"/>
    <n v="1"/>
    <n v="756.31"/>
    <n v="0"/>
    <n v="18"/>
    <s v="Returned"/>
    <n v="756.31"/>
    <n v="0"/>
    <n v="136.13579999999999"/>
    <n v="892.44579999999996"/>
  </r>
  <r>
    <s v="ORD-1479"/>
    <x v="273"/>
    <x v="0"/>
    <x v="6"/>
    <s v="Furniture"/>
    <s v="Office Chair"/>
    <x v="0"/>
    <n v="42"/>
    <n v="1174.8900000000001"/>
    <n v="5"/>
    <n v="18"/>
    <s v="Pending"/>
    <n v="49345.380000000005"/>
    <n v="2467.2690000000002"/>
    <n v="8438.0599800000018"/>
    <n v="55316.17098000001"/>
  </r>
  <r>
    <s v="ORD-1480"/>
    <x v="87"/>
    <x v="0"/>
    <x v="3"/>
    <s v="Food &amp; Beverages"/>
    <s v="Juice Pack"/>
    <x v="2"/>
    <n v="27"/>
    <n v="1108.69"/>
    <n v="15"/>
    <n v="18"/>
    <s v="Completed"/>
    <n v="29934.63"/>
    <n v="4490.1945000000005"/>
    <n v="4579.9983899999997"/>
    <n v="30024.43389"/>
  </r>
  <r>
    <s v="ORD-1481"/>
    <x v="261"/>
    <x v="1"/>
    <x v="3"/>
    <s v="Clothing"/>
    <s v="Jacket"/>
    <x v="3"/>
    <n v="23"/>
    <n v="1550.65"/>
    <n v="10"/>
    <n v="18"/>
    <s v="Returned"/>
    <n v="35664.950000000004"/>
    <n v="3566.4950000000008"/>
    <n v="5777.7219000000005"/>
    <n v="37876.176900000006"/>
  </r>
  <r>
    <s v="ORD-1482"/>
    <x v="229"/>
    <x v="1"/>
    <x v="2"/>
    <s v="Electronics"/>
    <s v="Smartphone"/>
    <x v="1"/>
    <n v="33"/>
    <n v="807.12"/>
    <n v="5"/>
    <n v="18"/>
    <s v="Completed"/>
    <n v="26634.959999999999"/>
    <n v="1331.7479999999998"/>
    <n v="4554.57816"/>
    <n v="29857.79016"/>
  </r>
  <r>
    <s v="ORD-1483"/>
    <x v="274"/>
    <x v="2"/>
    <x v="5"/>
    <s v="Sports"/>
    <s v="Yoga Mat"/>
    <x v="1"/>
    <n v="10"/>
    <n v="948.62"/>
    <n v="15"/>
    <n v="18"/>
    <s v="Completed"/>
    <n v="9486.2000000000007"/>
    <n v="1422.93"/>
    <n v="1451.3886000000002"/>
    <n v="9514.6586000000007"/>
  </r>
  <r>
    <s v="ORD-1484"/>
    <x v="223"/>
    <x v="0"/>
    <x v="0"/>
    <s v="Electronics"/>
    <s v="Laptop"/>
    <x v="3"/>
    <n v="39"/>
    <n v="85.13"/>
    <n v="10"/>
    <n v="18"/>
    <s v="Completed"/>
    <n v="3320.0699999999997"/>
    <n v="332.00699999999995"/>
    <n v="537.85133999999994"/>
    <n v="3525.9143399999994"/>
  </r>
  <r>
    <s v="ORD-1485"/>
    <x v="203"/>
    <x v="0"/>
    <x v="1"/>
    <s v="Sports"/>
    <s v="Tennis Racket"/>
    <x v="0"/>
    <n v="29"/>
    <n v="31.31"/>
    <n v="20"/>
    <n v="18"/>
    <s v="Pending"/>
    <n v="907.99"/>
    <n v="181.59799999999998"/>
    <n v="130.75056000000001"/>
    <n v="857.14256"/>
  </r>
  <r>
    <s v="ORD-1486"/>
    <x v="157"/>
    <x v="3"/>
    <x v="0"/>
    <s v="Furniture"/>
    <s v="Dining Table"/>
    <x v="0"/>
    <n v="24"/>
    <n v="486.12"/>
    <n v="0"/>
    <n v="18"/>
    <s v="Completed"/>
    <n v="11666.880000000001"/>
    <n v="0"/>
    <n v="2100.0384000000004"/>
    <n v="13766.918400000002"/>
  </r>
  <r>
    <s v="ORD-1487"/>
    <x v="275"/>
    <x v="1"/>
    <x v="7"/>
    <s v="Electronics"/>
    <s v="Tablet"/>
    <x v="2"/>
    <n v="38"/>
    <n v="408.62"/>
    <n v="0"/>
    <n v="18"/>
    <s v="Pending"/>
    <n v="15527.56"/>
    <n v="0"/>
    <n v="2794.9608000000003"/>
    <n v="18322.520799999998"/>
  </r>
  <r>
    <s v="ORD-1488"/>
    <x v="11"/>
    <x v="0"/>
    <x v="7"/>
    <s v="Electronics"/>
    <s v="Laptop"/>
    <x v="3"/>
    <n v="15"/>
    <n v="1216.6600000000001"/>
    <n v="0"/>
    <n v="18"/>
    <s v="Completed"/>
    <n v="18249.900000000001"/>
    <n v="0"/>
    <n v="3284.982"/>
    <n v="21534.882000000001"/>
  </r>
  <r>
    <s v="ORD-1489"/>
    <x v="141"/>
    <x v="3"/>
    <x v="3"/>
    <s v="Food &amp; Beverages"/>
    <s v="Juice Pack"/>
    <x v="0"/>
    <n v="33"/>
    <n v="221.87"/>
    <n v="0"/>
    <n v="18"/>
    <s v="Pending"/>
    <n v="7321.71"/>
    <n v="0"/>
    <n v="1317.9078"/>
    <n v="8639.6178"/>
  </r>
  <r>
    <s v="ORD-1490"/>
    <x v="150"/>
    <x v="3"/>
    <x v="3"/>
    <s v="Furniture"/>
    <s v="Bookshelf"/>
    <x v="3"/>
    <n v="25"/>
    <n v="1130.71"/>
    <n v="0"/>
    <n v="18"/>
    <s v="Pending"/>
    <n v="28267.75"/>
    <n v="0"/>
    <n v="5088.1949999999997"/>
    <n v="33355.945"/>
  </r>
  <r>
    <s v="ORD-1491"/>
    <x v="276"/>
    <x v="3"/>
    <x v="4"/>
    <s v="Food &amp; Beverages"/>
    <s v="Energy Bar"/>
    <x v="1"/>
    <n v="5"/>
    <n v="771.52"/>
    <n v="0"/>
    <n v="18"/>
    <s v="Completed"/>
    <n v="3857.6"/>
    <n v="0"/>
    <n v="694.36800000000005"/>
    <n v="4551.9679999999998"/>
  </r>
  <r>
    <s v="ORD-1492"/>
    <x v="277"/>
    <x v="1"/>
    <x v="7"/>
    <s v="Clothing"/>
    <s v="Jacket"/>
    <x v="1"/>
    <n v="16"/>
    <n v="581.71"/>
    <n v="10"/>
    <n v="18"/>
    <s v="Completed"/>
    <n v="9307.36"/>
    <n v="930.7360000000001"/>
    <n v="1507.7923199999998"/>
    <n v="9884.4163200000003"/>
  </r>
  <r>
    <s v="ORD-1493"/>
    <x v="63"/>
    <x v="2"/>
    <x v="4"/>
    <s v="Furniture"/>
    <s v="Sofa"/>
    <x v="3"/>
    <n v="14"/>
    <n v="1789.69"/>
    <n v="5"/>
    <n v="18"/>
    <s v="Completed"/>
    <n v="25055.66"/>
    <n v="1252.7830000000001"/>
    <n v="4284.5178599999999"/>
    <n v="28087.39486"/>
  </r>
  <r>
    <s v="ORD-1494"/>
    <x v="278"/>
    <x v="2"/>
    <x v="0"/>
    <s v="Clothing"/>
    <s v="Dress"/>
    <x v="0"/>
    <n v="14"/>
    <n v="466.12"/>
    <n v="0"/>
    <n v="18"/>
    <s v="Completed"/>
    <n v="6525.68"/>
    <n v="0"/>
    <n v="1174.6224"/>
    <n v="7700.3024000000005"/>
  </r>
  <r>
    <s v="ORD-1495"/>
    <x v="130"/>
    <x v="3"/>
    <x v="6"/>
    <s v="Furniture"/>
    <s v="Dining Table"/>
    <x v="1"/>
    <n v="40"/>
    <n v="23.18"/>
    <n v="15"/>
    <n v="18"/>
    <s v="Pending"/>
    <n v="927.2"/>
    <n v="139.08000000000001"/>
    <n v="141.86160000000001"/>
    <n v="929.98160000000007"/>
  </r>
  <r>
    <s v="ORD-1496"/>
    <x v="269"/>
    <x v="0"/>
    <x v="4"/>
    <s v="Food &amp; Beverages"/>
    <s v="Protein Shake"/>
    <x v="3"/>
    <n v="12"/>
    <n v="1968.95"/>
    <n v="15"/>
    <n v="18"/>
    <s v="Pending"/>
    <n v="23627.4"/>
    <n v="3544.11"/>
    <n v="3614.9922000000001"/>
    <n v="23698.282200000001"/>
  </r>
  <r>
    <s v="ORD-1497"/>
    <x v="279"/>
    <x v="2"/>
    <x v="1"/>
    <s v="Food &amp; Beverages"/>
    <s v="Organic Tea"/>
    <x v="2"/>
    <n v="35"/>
    <n v="74.8"/>
    <n v="5"/>
    <n v="18"/>
    <s v="Pending"/>
    <n v="2618"/>
    <n v="130.9"/>
    <n v="447.67799999999994"/>
    <n v="2934.7779999999998"/>
  </r>
  <r>
    <s v="ORD-1498"/>
    <x v="147"/>
    <x v="3"/>
    <x v="4"/>
    <s v="Clothing"/>
    <s v="Dress"/>
    <x v="3"/>
    <n v="1"/>
    <n v="1351.47"/>
    <n v="10"/>
    <n v="18"/>
    <s v="Completed"/>
    <n v="1351.47"/>
    <n v="135.14700000000002"/>
    <n v="218.93814000000003"/>
    <n v="1435.2611400000001"/>
  </r>
  <r>
    <s v="ORD-1499"/>
    <x v="169"/>
    <x v="0"/>
    <x v="3"/>
    <s v="Electronics"/>
    <s v="Tablet"/>
    <x v="0"/>
    <n v="17"/>
    <n v="481.91"/>
    <n v="10"/>
    <n v="18"/>
    <s v="Returned"/>
    <n v="8192.4700000000012"/>
    <n v="819.24700000000007"/>
    <n v="1327.1801400000002"/>
    <n v="8700.4031400000003"/>
  </r>
  <r>
    <s v="ORD-1500"/>
    <x v="280"/>
    <x v="2"/>
    <x v="4"/>
    <s v="Furniture"/>
    <s v="Bookshelf"/>
    <x v="2"/>
    <n v="27"/>
    <n v="1404.42"/>
    <n v="5"/>
    <n v="18"/>
    <s v="Completed"/>
    <n v="37919.340000000004"/>
    <n v="1895.9670000000001"/>
    <n v="6484.2071400000013"/>
    <n v="42507.58014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BB69CA-063D-4DF9-A583-3FE526E02341}"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4:W9" firstHeaderRow="1" firstDataRow="1" firstDataCol="1"/>
  <pivotFields count="18">
    <pivotField showAll="0"/>
    <pivotField numFmtId="164" showAll="0">
      <items count="282">
        <item x="260"/>
        <item x="180"/>
        <item x="172"/>
        <item x="192"/>
        <item x="219"/>
        <item x="60"/>
        <item x="213"/>
        <item x="250"/>
        <item x="16"/>
        <item x="45"/>
        <item x="1"/>
        <item x="257"/>
        <item x="75"/>
        <item x="182"/>
        <item x="38"/>
        <item x="26"/>
        <item x="130"/>
        <item x="105"/>
        <item x="9"/>
        <item x="242"/>
        <item x="56"/>
        <item x="262"/>
        <item x="183"/>
        <item x="176"/>
        <item x="235"/>
        <item x="111"/>
        <item x="17"/>
        <item x="88"/>
        <item x="217"/>
        <item x="177"/>
        <item x="259"/>
        <item x="221"/>
        <item x="4"/>
        <item x="25"/>
        <item x="54"/>
        <item x="62"/>
        <item x="118"/>
        <item x="204"/>
        <item x="187"/>
        <item x="28"/>
        <item x="131"/>
        <item x="252"/>
        <item x="191"/>
        <item x="115"/>
        <item x="83"/>
        <item x="220"/>
        <item x="85"/>
        <item x="104"/>
        <item x="212"/>
        <item x="14"/>
        <item x="110"/>
        <item x="101"/>
        <item x="240"/>
        <item x="241"/>
        <item x="261"/>
        <item x="194"/>
        <item x="185"/>
        <item x="188"/>
        <item x="271"/>
        <item x="33"/>
        <item x="71"/>
        <item x="50"/>
        <item x="227"/>
        <item x="157"/>
        <item x="2"/>
        <item x="12"/>
        <item x="34"/>
        <item x="214"/>
        <item x="57"/>
        <item x="44"/>
        <item x="124"/>
        <item x="74"/>
        <item x="95"/>
        <item x="69"/>
        <item x="178"/>
        <item x="63"/>
        <item x="68"/>
        <item x="145"/>
        <item x="168"/>
        <item x="265"/>
        <item x="126"/>
        <item x="15"/>
        <item x="251"/>
        <item x="109"/>
        <item x="7"/>
        <item x="22"/>
        <item x="209"/>
        <item x="86"/>
        <item x="122"/>
        <item x="205"/>
        <item x="98"/>
        <item x="13"/>
        <item x="197"/>
        <item x="189"/>
        <item x="20"/>
        <item x="198"/>
        <item x="70"/>
        <item x="96"/>
        <item x="253"/>
        <item x="27"/>
        <item x="35"/>
        <item x="80"/>
        <item x="67"/>
        <item x="78"/>
        <item x="171"/>
        <item x="181"/>
        <item x="37"/>
        <item x="269"/>
        <item x="161"/>
        <item x="29"/>
        <item x="23"/>
        <item x="163"/>
        <item x="121"/>
        <item x="211"/>
        <item x="263"/>
        <item x="246"/>
        <item x="41"/>
        <item x="175"/>
        <item x="128"/>
        <item x="66"/>
        <item x="77"/>
        <item x="123"/>
        <item x="266"/>
        <item x="226"/>
        <item x="158"/>
        <item x="79"/>
        <item x="119"/>
        <item x="55"/>
        <item x="82"/>
        <item x="199"/>
        <item x="53"/>
        <item x="150"/>
        <item x="135"/>
        <item x="243"/>
        <item x="258"/>
        <item x="36"/>
        <item x="19"/>
        <item x="149"/>
        <item x="3"/>
        <item x="155"/>
        <item x="153"/>
        <item x="280"/>
        <item x="162"/>
        <item x="129"/>
        <item x="106"/>
        <item x="239"/>
        <item x="146"/>
        <item x="201"/>
        <item x="186"/>
        <item x="222"/>
        <item x="39"/>
        <item x="216"/>
        <item x="279"/>
        <item x="120"/>
        <item x="173"/>
        <item x="223"/>
        <item x="264"/>
        <item x="184"/>
        <item x="270"/>
        <item x="236"/>
        <item x="116"/>
        <item x="166"/>
        <item x="52"/>
        <item x="51"/>
        <item x="215"/>
        <item x="47"/>
        <item x="255"/>
        <item x="231"/>
        <item x="274"/>
        <item x="139"/>
        <item x="21"/>
        <item x="151"/>
        <item x="127"/>
        <item x="159"/>
        <item x="228"/>
        <item x="11"/>
        <item x="90"/>
        <item x="224"/>
        <item x="170"/>
        <item x="103"/>
        <item x="92"/>
        <item x="268"/>
        <item x="165"/>
        <item x="49"/>
        <item x="174"/>
        <item x="148"/>
        <item x="87"/>
        <item x="93"/>
        <item x="207"/>
        <item x="113"/>
        <item x="254"/>
        <item x="210"/>
        <item x="160"/>
        <item x="84"/>
        <item x="141"/>
        <item x="31"/>
        <item x="136"/>
        <item x="140"/>
        <item x="203"/>
        <item x="245"/>
        <item x="61"/>
        <item x="125"/>
        <item x="234"/>
        <item x="10"/>
        <item x="102"/>
        <item x="232"/>
        <item x="273"/>
        <item x="179"/>
        <item x="24"/>
        <item x="107"/>
        <item x="0"/>
        <item x="229"/>
        <item x="267"/>
        <item x="30"/>
        <item x="64"/>
        <item x="164"/>
        <item x="8"/>
        <item x="193"/>
        <item x="99"/>
        <item x="73"/>
        <item x="18"/>
        <item x="154"/>
        <item x="58"/>
        <item x="206"/>
        <item x="89"/>
        <item x="147"/>
        <item x="167"/>
        <item x="114"/>
        <item x="97"/>
        <item x="76"/>
        <item x="72"/>
        <item x="196"/>
        <item x="59"/>
        <item x="133"/>
        <item x="195"/>
        <item x="43"/>
        <item x="143"/>
        <item x="138"/>
        <item x="169"/>
        <item x="152"/>
        <item x="278"/>
        <item x="100"/>
        <item x="256"/>
        <item x="237"/>
        <item x="94"/>
        <item x="81"/>
        <item x="32"/>
        <item x="144"/>
        <item x="108"/>
        <item x="230"/>
        <item x="132"/>
        <item x="142"/>
        <item x="247"/>
        <item x="208"/>
        <item x="249"/>
        <item x="112"/>
        <item x="272"/>
        <item x="225"/>
        <item x="42"/>
        <item x="48"/>
        <item x="190"/>
        <item x="5"/>
        <item x="277"/>
        <item x="117"/>
        <item x="276"/>
        <item x="156"/>
        <item x="218"/>
        <item x="134"/>
        <item x="40"/>
        <item x="6"/>
        <item x="65"/>
        <item x="137"/>
        <item x="200"/>
        <item x="46"/>
        <item x="233"/>
        <item x="238"/>
        <item x="202"/>
        <item x="275"/>
        <item x="91"/>
        <item x="248"/>
        <item x="244"/>
        <item t="default"/>
      </items>
    </pivotField>
    <pivotField showAll="0">
      <items count="5">
        <item x="0"/>
        <item x="3"/>
        <item x="2"/>
        <item x="1"/>
        <item t="default"/>
      </items>
    </pivotField>
    <pivotField showAll="0"/>
    <pivotField showAll="0"/>
    <pivotField showAll="0"/>
    <pivotField axis="axisRow" showAll="0">
      <items count="5">
        <item x="2"/>
        <item x="1"/>
        <item x="0"/>
        <item x="3"/>
        <item t="default"/>
      </items>
    </pivotField>
    <pivotField showAll="0"/>
    <pivotField numFmtId="165" showAll="0"/>
    <pivotField showAll="0"/>
    <pivotField showAll="0"/>
    <pivotField showAll="0"/>
    <pivotField numFmtId="165" showAll="0"/>
    <pivotField numFmtId="165"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Net_Revenue" fld="15" baseField="6" baseItem="0" numFmtId="165"/>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629051-033B-46A7-85AD-6D950C26E4DE}"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9:P28" firstHeaderRow="1" firstDataRow="1" firstDataCol="1"/>
  <pivotFields count="18">
    <pivotField showAll="0"/>
    <pivotField numFmtId="164" showAll="0">
      <items count="282">
        <item x="260"/>
        <item x="180"/>
        <item x="172"/>
        <item x="192"/>
        <item x="219"/>
        <item x="60"/>
        <item x="213"/>
        <item x="250"/>
        <item x="16"/>
        <item x="45"/>
        <item x="1"/>
        <item x="257"/>
        <item x="75"/>
        <item x="182"/>
        <item x="38"/>
        <item x="26"/>
        <item x="130"/>
        <item x="105"/>
        <item x="9"/>
        <item x="242"/>
        <item x="56"/>
        <item x="262"/>
        <item x="183"/>
        <item x="176"/>
        <item x="235"/>
        <item x="111"/>
        <item x="17"/>
        <item x="88"/>
        <item x="217"/>
        <item x="177"/>
        <item x="259"/>
        <item x="221"/>
        <item x="4"/>
        <item x="25"/>
        <item x="54"/>
        <item x="62"/>
        <item x="118"/>
        <item x="204"/>
        <item x="187"/>
        <item x="28"/>
        <item x="131"/>
        <item x="252"/>
        <item x="191"/>
        <item x="115"/>
        <item x="83"/>
        <item x="220"/>
        <item x="85"/>
        <item x="104"/>
        <item x="212"/>
        <item x="14"/>
        <item x="110"/>
        <item x="101"/>
        <item x="240"/>
        <item x="241"/>
        <item x="261"/>
        <item x="194"/>
        <item x="185"/>
        <item x="188"/>
        <item x="271"/>
        <item x="33"/>
        <item x="71"/>
        <item x="50"/>
        <item x="227"/>
        <item x="157"/>
        <item x="2"/>
        <item x="12"/>
        <item x="34"/>
        <item x="214"/>
        <item x="57"/>
        <item x="44"/>
        <item x="124"/>
        <item x="74"/>
        <item x="95"/>
        <item x="69"/>
        <item x="178"/>
        <item x="63"/>
        <item x="68"/>
        <item x="145"/>
        <item x="168"/>
        <item x="265"/>
        <item x="126"/>
        <item x="15"/>
        <item x="251"/>
        <item x="109"/>
        <item x="7"/>
        <item x="22"/>
        <item x="209"/>
        <item x="86"/>
        <item x="122"/>
        <item x="205"/>
        <item x="98"/>
        <item x="13"/>
        <item x="197"/>
        <item x="189"/>
        <item x="20"/>
        <item x="198"/>
        <item x="70"/>
        <item x="96"/>
        <item x="253"/>
        <item x="27"/>
        <item x="35"/>
        <item x="80"/>
        <item x="67"/>
        <item x="78"/>
        <item x="171"/>
        <item x="181"/>
        <item x="37"/>
        <item x="269"/>
        <item x="161"/>
        <item x="29"/>
        <item x="23"/>
        <item x="163"/>
        <item x="121"/>
        <item x="211"/>
        <item x="263"/>
        <item x="246"/>
        <item x="41"/>
        <item x="175"/>
        <item x="128"/>
        <item x="66"/>
        <item x="77"/>
        <item x="123"/>
        <item x="266"/>
        <item x="226"/>
        <item x="158"/>
        <item x="79"/>
        <item x="119"/>
        <item x="55"/>
        <item x="82"/>
        <item x="199"/>
        <item x="53"/>
        <item x="150"/>
        <item x="135"/>
        <item x="243"/>
        <item x="258"/>
        <item x="36"/>
        <item x="19"/>
        <item x="149"/>
        <item x="3"/>
        <item x="155"/>
        <item x="153"/>
        <item x="280"/>
        <item x="162"/>
        <item x="129"/>
        <item x="106"/>
        <item x="239"/>
        <item x="146"/>
        <item x="201"/>
        <item x="186"/>
        <item x="222"/>
        <item x="39"/>
        <item x="216"/>
        <item x="279"/>
        <item x="120"/>
        <item x="173"/>
        <item x="223"/>
        <item x="264"/>
        <item x="184"/>
        <item x="270"/>
        <item x="236"/>
        <item x="116"/>
        <item x="166"/>
        <item x="52"/>
        <item x="51"/>
        <item x="215"/>
        <item x="47"/>
        <item x="255"/>
        <item x="231"/>
        <item x="274"/>
        <item x="139"/>
        <item x="21"/>
        <item x="151"/>
        <item x="127"/>
        <item x="159"/>
        <item x="228"/>
        <item x="11"/>
        <item x="90"/>
        <item x="224"/>
        <item x="170"/>
        <item x="103"/>
        <item x="92"/>
        <item x="268"/>
        <item x="165"/>
        <item x="49"/>
        <item x="174"/>
        <item x="148"/>
        <item x="87"/>
        <item x="93"/>
        <item x="207"/>
        <item x="113"/>
        <item x="254"/>
        <item x="210"/>
        <item x="160"/>
        <item x="84"/>
        <item x="141"/>
        <item x="31"/>
        <item x="136"/>
        <item x="140"/>
        <item x="203"/>
        <item x="245"/>
        <item x="61"/>
        <item x="125"/>
        <item x="234"/>
        <item x="10"/>
        <item x="102"/>
        <item x="232"/>
        <item x="273"/>
        <item x="179"/>
        <item x="24"/>
        <item x="107"/>
        <item x="0"/>
        <item x="229"/>
        <item x="267"/>
        <item x="30"/>
        <item x="64"/>
        <item x="164"/>
        <item x="8"/>
        <item x="193"/>
        <item x="99"/>
        <item x="73"/>
        <item x="18"/>
        <item x="154"/>
        <item x="58"/>
        <item x="206"/>
        <item x="89"/>
        <item x="147"/>
        <item x="167"/>
        <item x="114"/>
        <item x="97"/>
        <item x="76"/>
        <item x="72"/>
        <item x="196"/>
        <item x="59"/>
        <item x="133"/>
        <item x="195"/>
        <item x="43"/>
        <item x="143"/>
        <item x="138"/>
        <item x="169"/>
        <item x="152"/>
        <item x="278"/>
        <item x="100"/>
        <item x="256"/>
        <item x="237"/>
        <item x="94"/>
        <item x="81"/>
        <item x="32"/>
        <item x="144"/>
        <item x="108"/>
        <item x="230"/>
        <item x="132"/>
        <item x="142"/>
        <item x="247"/>
        <item x="208"/>
        <item x="249"/>
        <item x="112"/>
        <item x="272"/>
        <item x="225"/>
        <item x="42"/>
        <item x="48"/>
        <item x="190"/>
        <item x="5"/>
        <item x="277"/>
        <item x="117"/>
        <item x="276"/>
        <item x="156"/>
        <item x="218"/>
        <item x="134"/>
        <item x="40"/>
        <item x="6"/>
        <item x="65"/>
        <item x="137"/>
        <item x="200"/>
        <item x="46"/>
        <item x="233"/>
        <item x="238"/>
        <item x="202"/>
        <item x="275"/>
        <item x="91"/>
        <item x="248"/>
        <item x="244"/>
        <item t="default"/>
      </items>
    </pivotField>
    <pivotField showAll="0">
      <items count="5">
        <item x="0"/>
        <item x="3"/>
        <item x="2"/>
        <item x="1"/>
        <item t="default"/>
      </items>
    </pivotField>
    <pivotField axis="axisRow" showAll="0">
      <items count="9">
        <item x="5"/>
        <item x="1"/>
        <item x="7"/>
        <item x="4"/>
        <item x="6"/>
        <item x="2"/>
        <item x="0"/>
        <item x="3"/>
        <item t="default"/>
      </items>
    </pivotField>
    <pivotField showAll="0"/>
    <pivotField showAll="0"/>
    <pivotField showAll="0"/>
    <pivotField showAll="0"/>
    <pivotField numFmtId="165" showAll="0"/>
    <pivotField showAll="0"/>
    <pivotField showAll="0"/>
    <pivotField showAll="0"/>
    <pivotField numFmtId="165" showAll="0"/>
    <pivotField numFmtId="165"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9">
    <i>
      <x/>
    </i>
    <i>
      <x v="1"/>
    </i>
    <i>
      <x v="2"/>
    </i>
    <i>
      <x v="3"/>
    </i>
    <i>
      <x v="4"/>
    </i>
    <i>
      <x v="5"/>
    </i>
    <i>
      <x v="6"/>
    </i>
    <i>
      <x v="7"/>
    </i>
    <i t="grand">
      <x/>
    </i>
  </rowItems>
  <colItems count="1">
    <i/>
  </colItems>
  <dataFields count="1">
    <dataField name="Sum of Net Revenue" fld="15"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4B22AC-D856-458E-97B6-DFFB83214DB5}"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3:O16" firstHeaderRow="1" firstDataRow="1" firstDataCol="1"/>
  <pivotFields count="18">
    <pivotField showAll="0"/>
    <pivotField axis="axisRow" numFmtId="164" showAll="0">
      <items count="282">
        <item x="260"/>
        <item x="180"/>
        <item x="172"/>
        <item x="192"/>
        <item x="219"/>
        <item x="60"/>
        <item x="213"/>
        <item x="250"/>
        <item x="16"/>
        <item x="45"/>
        <item x="1"/>
        <item x="257"/>
        <item x="75"/>
        <item x="182"/>
        <item x="38"/>
        <item x="26"/>
        <item x="130"/>
        <item x="105"/>
        <item x="9"/>
        <item x="242"/>
        <item x="56"/>
        <item x="262"/>
        <item x="183"/>
        <item x="176"/>
        <item x="235"/>
        <item x="111"/>
        <item x="17"/>
        <item x="88"/>
        <item x="217"/>
        <item x="177"/>
        <item x="259"/>
        <item x="221"/>
        <item x="4"/>
        <item x="25"/>
        <item x="54"/>
        <item x="62"/>
        <item x="118"/>
        <item x="204"/>
        <item x="187"/>
        <item x="28"/>
        <item x="131"/>
        <item x="252"/>
        <item x="191"/>
        <item x="115"/>
        <item x="83"/>
        <item x="220"/>
        <item x="85"/>
        <item x="104"/>
        <item x="212"/>
        <item x="14"/>
        <item x="110"/>
        <item x="101"/>
        <item x="240"/>
        <item x="241"/>
        <item x="261"/>
        <item x="194"/>
        <item x="185"/>
        <item x="188"/>
        <item x="271"/>
        <item x="33"/>
        <item x="71"/>
        <item x="50"/>
        <item x="227"/>
        <item x="157"/>
        <item x="2"/>
        <item x="12"/>
        <item x="34"/>
        <item x="214"/>
        <item x="57"/>
        <item x="44"/>
        <item x="124"/>
        <item x="74"/>
        <item x="95"/>
        <item x="69"/>
        <item x="178"/>
        <item x="63"/>
        <item x="68"/>
        <item x="145"/>
        <item x="168"/>
        <item x="265"/>
        <item x="126"/>
        <item x="15"/>
        <item x="251"/>
        <item x="109"/>
        <item x="7"/>
        <item x="22"/>
        <item x="209"/>
        <item x="86"/>
        <item x="122"/>
        <item x="205"/>
        <item x="98"/>
        <item x="13"/>
        <item x="197"/>
        <item x="189"/>
        <item x="20"/>
        <item x="198"/>
        <item x="70"/>
        <item x="96"/>
        <item x="253"/>
        <item x="27"/>
        <item x="35"/>
        <item x="80"/>
        <item x="67"/>
        <item x="78"/>
        <item x="171"/>
        <item x="181"/>
        <item x="37"/>
        <item x="269"/>
        <item x="161"/>
        <item x="29"/>
        <item x="23"/>
        <item x="163"/>
        <item x="121"/>
        <item x="211"/>
        <item x="263"/>
        <item x="246"/>
        <item x="41"/>
        <item x="175"/>
        <item x="128"/>
        <item x="66"/>
        <item x="77"/>
        <item x="123"/>
        <item x="266"/>
        <item x="226"/>
        <item x="158"/>
        <item x="79"/>
        <item x="119"/>
        <item x="55"/>
        <item x="82"/>
        <item x="199"/>
        <item x="53"/>
        <item x="150"/>
        <item x="135"/>
        <item x="243"/>
        <item x="258"/>
        <item x="36"/>
        <item x="19"/>
        <item x="149"/>
        <item x="3"/>
        <item x="155"/>
        <item x="153"/>
        <item x="280"/>
        <item x="162"/>
        <item x="129"/>
        <item x="106"/>
        <item x="239"/>
        <item x="146"/>
        <item x="201"/>
        <item x="186"/>
        <item x="222"/>
        <item x="39"/>
        <item x="216"/>
        <item x="279"/>
        <item x="120"/>
        <item x="173"/>
        <item x="223"/>
        <item x="264"/>
        <item x="184"/>
        <item x="270"/>
        <item x="236"/>
        <item x="116"/>
        <item x="166"/>
        <item x="52"/>
        <item x="51"/>
        <item x="215"/>
        <item x="47"/>
        <item x="255"/>
        <item x="231"/>
        <item x="274"/>
        <item x="139"/>
        <item x="21"/>
        <item x="151"/>
        <item x="127"/>
        <item x="159"/>
        <item x="228"/>
        <item x="11"/>
        <item x="90"/>
        <item x="224"/>
        <item x="170"/>
        <item x="103"/>
        <item x="92"/>
        <item x="268"/>
        <item x="165"/>
        <item x="49"/>
        <item x="174"/>
        <item x="148"/>
        <item x="87"/>
        <item x="93"/>
        <item x="207"/>
        <item x="113"/>
        <item x="254"/>
        <item x="210"/>
        <item x="160"/>
        <item x="84"/>
        <item x="141"/>
        <item x="31"/>
        <item x="136"/>
        <item x="140"/>
        <item x="203"/>
        <item x="245"/>
        <item x="61"/>
        <item x="125"/>
        <item x="234"/>
        <item x="10"/>
        <item x="102"/>
        <item x="232"/>
        <item x="273"/>
        <item x="179"/>
        <item x="24"/>
        <item x="107"/>
        <item x="0"/>
        <item x="229"/>
        <item x="267"/>
        <item x="30"/>
        <item x="64"/>
        <item x="164"/>
        <item x="8"/>
        <item x="193"/>
        <item x="99"/>
        <item x="73"/>
        <item x="18"/>
        <item x="154"/>
        <item x="58"/>
        <item x="206"/>
        <item x="89"/>
        <item x="147"/>
        <item x="167"/>
        <item x="114"/>
        <item x="97"/>
        <item x="76"/>
        <item x="72"/>
        <item x="196"/>
        <item x="59"/>
        <item x="133"/>
        <item x="195"/>
        <item x="43"/>
        <item x="143"/>
        <item x="138"/>
        <item x="169"/>
        <item x="152"/>
        <item x="278"/>
        <item x="100"/>
        <item x="256"/>
        <item x="237"/>
        <item x="94"/>
        <item x="81"/>
        <item x="32"/>
        <item x="144"/>
        <item x="108"/>
        <item x="230"/>
        <item x="132"/>
        <item x="142"/>
        <item x="247"/>
        <item x="208"/>
        <item x="249"/>
        <item x="112"/>
        <item x="272"/>
        <item x="225"/>
        <item x="42"/>
        <item x="48"/>
        <item x="190"/>
        <item x="5"/>
        <item x="277"/>
        <item x="117"/>
        <item x="276"/>
        <item x="156"/>
        <item x="218"/>
        <item x="134"/>
        <item x="40"/>
        <item x="6"/>
        <item x="65"/>
        <item x="137"/>
        <item x="200"/>
        <item x="46"/>
        <item x="233"/>
        <item x="238"/>
        <item x="202"/>
        <item x="275"/>
        <item x="91"/>
        <item x="248"/>
        <item x="244"/>
        <item t="default"/>
      </items>
    </pivotField>
    <pivotField showAll="0">
      <items count="5">
        <item x="0"/>
        <item x="3"/>
        <item x="2"/>
        <item x="1"/>
        <item t="default"/>
      </items>
    </pivotField>
    <pivotField showAll="0"/>
    <pivotField showAll="0"/>
    <pivotField showAll="0"/>
    <pivotField showAll="0"/>
    <pivotField showAll="0"/>
    <pivotField numFmtId="165" showAll="0"/>
    <pivotField showAll="0"/>
    <pivotField showAll="0"/>
    <pivotField showAll="0"/>
    <pivotField dataField="1" numFmtId="165" showAll="0"/>
    <pivotField numFmtId="165" showAll="0"/>
    <pivotField numFmtId="165" showAll="0"/>
    <pivotField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1"/>
  </rowFields>
  <rowItems count="13">
    <i>
      <x v="1"/>
    </i>
    <i>
      <x v="2"/>
    </i>
    <i>
      <x v="3"/>
    </i>
    <i>
      <x v="4"/>
    </i>
    <i>
      <x v="5"/>
    </i>
    <i>
      <x v="6"/>
    </i>
    <i>
      <x v="7"/>
    </i>
    <i>
      <x v="8"/>
    </i>
    <i>
      <x v="9"/>
    </i>
    <i>
      <x v="10"/>
    </i>
    <i>
      <x v="11"/>
    </i>
    <i>
      <x v="12"/>
    </i>
    <i t="grand">
      <x/>
    </i>
  </rowItems>
  <colItems count="1">
    <i/>
  </colItems>
  <dataFields count="1">
    <dataField name="Sum of Revenue" fld="12" baseField="0" baseItem="0" numFmtId="165"/>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8CDF8C-66C7-4B6C-B905-017D3FC1F686}"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B22" firstHeaderRow="1" firstDataRow="1" firstDataCol="1"/>
  <pivotFields count="18">
    <pivotField showAll="0"/>
    <pivotField numFmtId="164" showAll="0">
      <items count="282">
        <item x="260"/>
        <item x="180"/>
        <item x="172"/>
        <item x="192"/>
        <item x="219"/>
        <item x="60"/>
        <item x="213"/>
        <item x="250"/>
        <item x="16"/>
        <item x="45"/>
        <item x="1"/>
        <item x="257"/>
        <item x="75"/>
        <item x="182"/>
        <item x="38"/>
        <item x="26"/>
        <item x="130"/>
        <item x="105"/>
        <item x="9"/>
        <item x="242"/>
        <item x="56"/>
        <item x="262"/>
        <item x="183"/>
        <item x="176"/>
        <item x="235"/>
        <item x="111"/>
        <item x="17"/>
        <item x="88"/>
        <item x="217"/>
        <item x="177"/>
        <item x="259"/>
        <item x="221"/>
        <item x="4"/>
        <item x="25"/>
        <item x="54"/>
        <item x="62"/>
        <item x="118"/>
        <item x="204"/>
        <item x="187"/>
        <item x="28"/>
        <item x="131"/>
        <item x="252"/>
        <item x="191"/>
        <item x="115"/>
        <item x="83"/>
        <item x="220"/>
        <item x="85"/>
        <item x="104"/>
        <item x="212"/>
        <item x="14"/>
        <item x="110"/>
        <item x="101"/>
        <item x="240"/>
        <item x="241"/>
        <item x="261"/>
        <item x="194"/>
        <item x="185"/>
        <item x="188"/>
        <item x="271"/>
        <item x="33"/>
        <item x="71"/>
        <item x="50"/>
        <item x="227"/>
        <item x="157"/>
        <item x="2"/>
        <item x="12"/>
        <item x="34"/>
        <item x="214"/>
        <item x="57"/>
        <item x="44"/>
        <item x="124"/>
        <item x="74"/>
        <item x="95"/>
        <item x="69"/>
        <item x="178"/>
        <item x="63"/>
        <item x="68"/>
        <item x="145"/>
        <item x="168"/>
        <item x="265"/>
        <item x="126"/>
        <item x="15"/>
        <item x="251"/>
        <item x="109"/>
        <item x="7"/>
        <item x="22"/>
        <item x="209"/>
        <item x="86"/>
        <item x="122"/>
        <item x="205"/>
        <item x="98"/>
        <item x="13"/>
        <item x="197"/>
        <item x="189"/>
        <item x="20"/>
        <item x="198"/>
        <item x="70"/>
        <item x="96"/>
        <item x="253"/>
        <item x="27"/>
        <item x="35"/>
        <item x="80"/>
        <item x="67"/>
        <item x="78"/>
        <item x="171"/>
        <item x="181"/>
        <item x="37"/>
        <item x="269"/>
        <item x="161"/>
        <item x="29"/>
        <item x="23"/>
        <item x="163"/>
        <item x="121"/>
        <item x="211"/>
        <item x="263"/>
        <item x="246"/>
        <item x="41"/>
        <item x="175"/>
        <item x="128"/>
        <item x="66"/>
        <item x="77"/>
        <item x="123"/>
        <item x="266"/>
        <item x="226"/>
        <item x="158"/>
        <item x="79"/>
        <item x="119"/>
        <item x="55"/>
        <item x="82"/>
        <item x="199"/>
        <item x="53"/>
        <item x="150"/>
        <item x="135"/>
        <item x="243"/>
        <item x="258"/>
        <item x="36"/>
        <item x="19"/>
        <item x="149"/>
        <item x="3"/>
        <item x="155"/>
        <item x="153"/>
        <item x="280"/>
        <item x="162"/>
        <item x="129"/>
        <item x="106"/>
        <item x="239"/>
        <item x="146"/>
        <item x="201"/>
        <item x="186"/>
        <item x="222"/>
        <item x="39"/>
        <item x="216"/>
        <item x="279"/>
        <item x="120"/>
        <item x="173"/>
        <item x="223"/>
        <item x="264"/>
        <item x="184"/>
        <item x="270"/>
        <item x="236"/>
        <item x="116"/>
        <item x="166"/>
        <item x="52"/>
        <item x="51"/>
        <item x="215"/>
        <item x="47"/>
        <item x="255"/>
        <item x="231"/>
        <item x="274"/>
        <item x="139"/>
        <item x="21"/>
        <item x="151"/>
        <item x="127"/>
        <item x="159"/>
        <item x="228"/>
        <item x="11"/>
        <item x="90"/>
        <item x="224"/>
        <item x="170"/>
        <item x="103"/>
        <item x="92"/>
        <item x="268"/>
        <item x="165"/>
        <item x="49"/>
        <item x="174"/>
        <item x="148"/>
        <item x="87"/>
        <item x="93"/>
        <item x="207"/>
        <item x="113"/>
        <item x="254"/>
        <item x="210"/>
        <item x="160"/>
        <item x="84"/>
        <item x="141"/>
        <item x="31"/>
        <item x="136"/>
        <item x="140"/>
        <item x="203"/>
        <item x="245"/>
        <item x="61"/>
        <item x="125"/>
        <item x="234"/>
        <item x="10"/>
        <item x="102"/>
        <item x="232"/>
        <item x="273"/>
        <item x="179"/>
        <item x="24"/>
        <item x="107"/>
        <item x="0"/>
        <item x="229"/>
        <item x="267"/>
        <item x="30"/>
        <item x="64"/>
        <item x="164"/>
        <item x="8"/>
        <item x="193"/>
        <item x="99"/>
        <item x="73"/>
        <item x="18"/>
        <item x="154"/>
        <item x="58"/>
        <item x="206"/>
        <item x="89"/>
        <item x="147"/>
        <item x="167"/>
        <item x="114"/>
        <item x="97"/>
        <item x="76"/>
        <item x="72"/>
        <item x="196"/>
        <item x="59"/>
        <item x="133"/>
        <item x="195"/>
        <item x="43"/>
        <item x="143"/>
        <item x="138"/>
        <item x="169"/>
        <item x="152"/>
        <item x="278"/>
        <item x="100"/>
        <item x="256"/>
        <item x="237"/>
        <item x="94"/>
        <item x="81"/>
        <item x="32"/>
        <item x="144"/>
        <item x="108"/>
        <item x="230"/>
        <item x="132"/>
        <item x="142"/>
        <item x="247"/>
        <item x="208"/>
        <item x="249"/>
        <item x="112"/>
        <item x="272"/>
        <item x="225"/>
        <item x="42"/>
        <item x="48"/>
        <item x="190"/>
        <item x="5"/>
        <item x="277"/>
        <item x="117"/>
        <item x="276"/>
        <item x="156"/>
        <item x="218"/>
        <item x="134"/>
        <item x="40"/>
        <item x="6"/>
        <item x="65"/>
        <item x="137"/>
        <item x="200"/>
        <item x="46"/>
        <item x="233"/>
        <item x="238"/>
        <item x="202"/>
        <item x="275"/>
        <item x="91"/>
        <item x="248"/>
        <item x="244"/>
        <item t="default"/>
      </items>
    </pivotField>
    <pivotField axis="axisRow" showAll="0">
      <items count="5">
        <item x="0"/>
        <item x="3"/>
        <item x="2"/>
        <item x="1"/>
        <item t="default"/>
      </items>
    </pivotField>
    <pivotField showAll="0"/>
    <pivotField showAll="0"/>
    <pivotField showAll="0"/>
    <pivotField showAll="0"/>
    <pivotField showAll="0"/>
    <pivotField numFmtId="165" showAll="0"/>
    <pivotField showAll="0"/>
    <pivotField showAll="0"/>
    <pivotField showAll="0"/>
    <pivotField dataField="1" numFmtId="165" showAll="0"/>
    <pivotField numFmtId="165" showAll="0"/>
    <pivotField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Average of Revenue" fld="12" subtotal="average" baseField="0" baseItem="0" numFmtId="165"/>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762CCA-4E1C-43EC-B194-003C54B0C0C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6">
    <pivotField showAll="0"/>
    <pivotField numFmtId="164" showAll="0"/>
    <pivotField showAll="0"/>
    <pivotField showAll="0"/>
    <pivotField axis="axisRow" showAll="0">
      <items count="6">
        <item x="4"/>
        <item x="0"/>
        <item x="2"/>
        <item x="3"/>
        <item x="1"/>
        <item t="default"/>
      </items>
    </pivotField>
    <pivotField showAll="0"/>
    <pivotField showAll="0"/>
    <pivotField showAll="0"/>
    <pivotField numFmtId="165" showAll="0"/>
    <pivotField showAll="0"/>
    <pivotField showAll="0"/>
    <pivotField showAll="0"/>
    <pivotField dataField="1" numFmtId="165" showAll="0"/>
    <pivotField numFmtId="165" showAll="0"/>
    <pivotField numFmtId="165" showAll="0"/>
    <pivotField numFmtId="165" showAll="0"/>
  </pivotFields>
  <rowFields count="1">
    <field x="4"/>
  </rowFields>
  <rowItems count="6">
    <i>
      <x/>
    </i>
    <i>
      <x v="1"/>
    </i>
    <i>
      <x v="2"/>
    </i>
    <i>
      <x v="3"/>
    </i>
    <i>
      <x v="4"/>
    </i>
    <i t="grand">
      <x/>
    </i>
  </rowItems>
  <colItems count="1">
    <i/>
  </colItems>
  <dataFields count="1">
    <dataField name="Net_Revenue" fld="12" baseField="4"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46C43C-366E-45DC-8239-2D4CADD0CEB3}" sourceName="Category">
  <pivotTables>
    <pivotTable tabId="2" name="PivotTable2"/>
  </pivotTables>
  <data>
    <tabular pivotCacheId="2024707107">
      <items count="5">
        <i x="4" s="1"/>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4B43DF-C933-41C8-B8BC-D85892A3277B}" sourceName="Region">
  <pivotTables>
    <pivotTable tabId="2" name="PivotTable5"/>
    <pivotTable tabId="2" name="PivotTable7"/>
    <pivotTable tabId="2" name="PivotTable8"/>
    <pivotTable tabId="2" name="PivotTable9"/>
  </pivotTables>
  <data>
    <tabular pivotCacheId="1393295309">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E620DC0-3A49-4EB5-B229-80F5713B4A4F}" cache="Slicer_Category" caption="Category" rowHeight="241300"/>
  <slicer name="Region" xr10:uid="{43ABF6B7-D1C8-4313-9185-2FC57865E485}"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70C93E9-D557-433F-8823-254EC7C40B7E}" cache="Slicer_Category" caption="Category" rowHeight="241300"/>
  <slicer name="Region 1" xr10:uid="{7959646B-DCDE-4A32-8DDA-3CFA82858309}" cache="Slicer_Region" caption="Region"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3BC54-F850-490E-AECB-85A9DDB8F06C}">
  <dimension ref="A3:W28"/>
  <sheetViews>
    <sheetView topLeftCell="I7" workbookViewId="0">
      <selection activeCell="U15" sqref="U15"/>
    </sheetView>
  </sheetViews>
  <sheetFormatPr defaultRowHeight="15" x14ac:dyDescent="0.25"/>
  <cols>
    <col min="1" max="1" width="13.140625" bestFit="1" customWidth="1"/>
    <col min="2" max="2" width="19.140625" bestFit="1" customWidth="1"/>
    <col min="14" max="15" width="13.140625" bestFit="1" customWidth="1"/>
    <col min="16" max="16" width="19.42578125" bestFit="1" customWidth="1"/>
    <col min="22" max="22" width="13.140625" bestFit="1" customWidth="1"/>
    <col min="23" max="23" width="14.5703125" bestFit="1" customWidth="1"/>
  </cols>
  <sheetData>
    <row r="3" spans="1:23" x14ac:dyDescent="0.25">
      <c r="A3" s="8" t="s">
        <v>565</v>
      </c>
      <c r="B3" t="s">
        <v>570</v>
      </c>
      <c r="N3" s="8" t="s">
        <v>565</v>
      </c>
      <c r="O3" t="s">
        <v>566</v>
      </c>
    </row>
    <row r="4" spans="1:23" x14ac:dyDescent="0.25">
      <c r="A4" s="9" t="s">
        <v>44</v>
      </c>
      <c r="B4" s="10">
        <v>1957351.1000000006</v>
      </c>
      <c r="N4" s="9" t="s">
        <v>571</v>
      </c>
      <c r="O4" s="10">
        <v>699296.19</v>
      </c>
      <c r="V4" s="8" t="s">
        <v>565</v>
      </c>
      <c r="W4" t="s">
        <v>570</v>
      </c>
    </row>
    <row r="5" spans="1:23" x14ac:dyDescent="0.25">
      <c r="A5" s="9" t="s">
        <v>19</v>
      </c>
      <c r="B5" s="10">
        <v>2640343.2200000002</v>
      </c>
      <c r="N5" s="9" t="s">
        <v>572</v>
      </c>
      <c r="O5" s="10">
        <v>1370928.7</v>
      </c>
      <c r="V5" s="9" t="s">
        <v>31</v>
      </c>
      <c r="W5" s="10">
        <v>3923700.9811400017</v>
      </c>
    </row>
    <row r="6" spans="1:23" x14ac:dyDescent="0.25">
      <c r="A6" s="9" t="s">
        <v>35</v>
      </c>
      <c r="B6" s="10">
        <v>2895201.7799999984</v>
      </c>
      <c r="N6" s="9" t="s">
        <v>573</v>
      </c>
      <c r="O6" s="10">
        <v>1343981.9100000001</v>
      </c>
      <c r="V6" s="9" t="s">
        <v>27</v>
      </c>
      <c r="W6" s="10">
        <v>2880149.0734099997</v>
      </c>
    </row>
    <row r="7" spans="1:23" x14ac:dyDescent="0.25">
      <c r="A7" s="9" t="s">
        <v>38</v>
      </c>
      <c r="B7" s="10">
        <v>2478730.29</v>
      </c>
      <c r="N7" s="9" t="s">
        <v>574</v>
      </c>
      <c r="O7" s="10">
        <v>807109.87</v>
      </c>
      <c r="V7" s="9" t="s">
        <v>21</v>
      </c>
      <c r="W7" s="10">
        <v>3489266.5023899996</v>
      </c>
    </row>
    <row r="8" spans="1:23" x14ac:dyDescent="0.25">
      <c r="A8" s="9" t="s">
        <v>29</v>
      </c>
      <c r="B8" s="10">
        <v>2804437.2300000004</v>
      </c>
      <c r="N8" s="9" t="s">
        <v>575</v>
      </c>
      <c r="O8" s="10">
        <v>1244699.7899999998</v>
      </c>
      <c r="V8" s="9" t="s">
        <v>55</v>
      </c>
      <c r="W8" s="10">
        <v>3570503.0070799971</v>
      </c>
    </row>
    <row r="9" spans="1:23" x14ac:dyDescent="0.25">
      <c r="A9" s="9" t="s">
        <v>567</v>
      </c>
      <c r="B9" s="10">
        <v>12776063.619999999</v>
      </c>
      <c r="N9" s="9" t="s">
        <v>576</v>
      </c>
      <c r="O9" s="10">
        <v>1024636.4799999999</v>
      </c>
      <c r="V9" s="9" t="s">
        <v>567</v>
      </c>
      <c r="W9" s="10">
        <v>13863619.564019997</v>
      </c>
    </row>
    <row r="10" spans="1:23" x14ac:dyDescent="0.25">
      <c r="N10" s="9" t="s">
        <v>577</v>
      </c>
      <c r="O10" s="10">
        <v>1058107.68</v>
      </c>
    </row>
    <row r="11" spans="1:23" x14ac:dyDescent="0.25">
      <c r="N11" s="9" t="s">
        <v>578</v>
      </c>
      <c r="O11" s="10">
        <v>944757.32999999984</v>
      </c>
    </row>
    <row r="12" spans="1:23" x14ac:dyDescent="0.25">
      <c r="N12" s="9" t="s">
        <v>579</v>
      </c>
      <c r="O12" s="10">
        <v>765653.63000000012</v>
      </c>
    </row>
    <row r="13" spans="1:23" x14ac:dyDescent="0.25">
      <c r="N13" s="9" t="s">
        <v>580</v>
      </c>
      <c r="O13" s="10">
        <v>1159841.5900000001</v>
      </c>
    </row>
    <row r="14" spans="1:23" x14ac:dyDescent="0.25">
      <c r="N14" s="9" t="s">
        <v>581</v>
      </c>
      <c r="O14" s="10">
        <v>1013089.1300000001</v>
      </c>
    </row>
    <row r="15" spans="1:23" x14ac:dyDescent="0.25">
      <c r="N15" s="9" t="s">
        <v>582</v>
      </c>
      <c r="O15" s="10">
        <v>1343961.3200000003</v>
      </c>
    </row>
    <row r="16" spans="1:23" x14ac:dyDescent="0.25">
      <c r="N16" s="9" t="s">
        <v>567</v>
      </c>
      <c r="O16" s="10">
        <v>12776063.620000001</v>
      </c>
    </row>
    <row r="17" spans="1:16" x14ac:dyDescent="0.25">
      <c r="A17" s="8" t="s">
        <v>565</v>
      </c>
      <c r="B17" t="s">
        <v>568</v>
      </c>
    </row>
    <row r="18" spans="1:16" x14ac:dyDescent="0.25">
      <c r="A18" s="9" t="s">
        <v>17</v>
      </c>
      <c r="B18" s="10">
        <v>26168.5009923664</v>
      </c>
    </row>
    <row r="19" spans="1:16" x14ac:dyDescent="0.25">
      <c r="A19" s="9" t="s">
        <v>59</v>
      </c>
      <c r="B19" s="10">
        <v>23701.137539682539</v>
      </c>
      <c r="O19" s="8" t="s">
        <v>565</v>
      </c>
      <c r="P19" t="s">
        <v>569</v>
      </c>
    </row>
    <row r="20" spans="1:16" x14ac:dyDescent="0.25">
      <c r="A20" s="9" t="s">
        <v>47</v>
      </c>
      <c r="B20" s="10">
        <v>26835.723559322043</v>
      </c>
      <c r="O20" s="9" t="s">
        <v>54</v>
      </c>
      <c r="P20" s="10">
        <v>1664413.5227099999</v>
      </c>
    </row>
    <row r="21" spans="1:16" x14ac:dyDescent="0.25">
      <c r="A21" s="9" t="s">
        <v>24</v>
      </c>
      <c r="B21" s="10">
        <v>25560.250240000008</v>
      </c>
      <c r="O21" s="9" t="s">
        <v>25</v>
      </c>
      <c r="P21" s="10">
        <v>1733880.2637199999</v>
      </c>
    </row>
    <row r="22" spans="1:16" x14ac:dyDescent="0.25">
      <c r="A22" s="9" t="s">
        <v>567</v>
      </c>
      <c r="B22" s="10">
        <v>25552.127239999973</v>
      </c>
      <c r="O22" s="9" t="s">
        <v>64</v>
      </c>
      <c r="P22" s="10">
        <v>1647397.87846</v>
      </c>
    </row>
    <row r="23" spans="1:16" x14ac:dyDescent="0.25">
      <c r="O23" s="9" t="s">
        <v>52</v>
      </c>
      <c r="P23" s="10">
        <v>1700852.3864499996</v>
      </c>
    </row>
    <row r="24" spans="1:16" x14ac:dyDescent="0.25">
      <c r="O24" s="9" t="s">
        <v>60</v>
      </c>
      <c r="P24" s="10">
        <v>1977048.1023300008</v>
      </c>
    </row>
    <row r="25" spans="1:16" x14ac:dyDescent="0.25">
      <c r="O25" s="9" t="s">
        <v>34</v>
      </c>
      <c r="P25" s="10">
        <v>1434084.4681900004</v>
      </c>
    </row>
    <row r="26" spans="1:16" x14ac:dyDescent="0.25">
      <c r="O26" s="9" t="s">
        <v>18</v>
      </c>
      <c r="P26" s="10">
        <v>1611368.58387</v>
      </c>
    </row>
    <row r="27" spans="1:16" x14ac:dyDescent="0.25">
      <c r="O27" s="9" t="s">
        <v>43</v>
      </c>
      <c r="P27" s="10">
        <v>2094574.3582900001</v>
      </c>
    </row>
    <row r="28" spans="1:16" x14ac:dyDescent="0.25">
      <c r="O28" s="9" t="s">
        <v>567</v>
      </c>
      <c r="P28" s="10">
        <v>13863619.56402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37BE3-9E8B-4BCF-85B6-7EFEB4CB716E}">
  <dimension ref="A1"/>
  <sheetViews>
    <sheetView tabSelected="1" topLeftCell="B1" workbookViewId="0">
      <selection activeCell="C15" sqref="C15"/>
    </sheetView>
  </sheetViews>
  <sheetFormatPr defaultRowHeight="15" x14ac:dyDescent="0.25"/>
  <cols>
    <col min="1" max="1" width="13.140625" bestFit="1" customWidth="1"/>
    <col min="2" max="2" width="19.1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opLeftCell="C1" zoomScaleNormal="100" workbookViewId="0">
      <pane ySplit="1" topLeftCell="A482" activePane="bottomLeft" state="frozen"/>
      <selection pane="bottomLeft" activeCell="G11" sqref="G11"/>
    </sheetView>
  </sheetViews>
  <sheetFormatPr defaultColWidth="8.7109375" defaultRowHeight="15" x14ac:dyDescent="0.25"/>
  <cols>
    <col min="1" max="2" width="14" customWidth="1"/>
    <col min="3" max="3" width="10" customWidth="1"/>
    <col min="4" max="4" width="18" customWidth="1"/>
    <col min="5" max="6" width="16" customWidth="1"/>
    <col min="7" max="7" width="14" customWidth="1"/>
    <col min="8" max="8" width="10" customWidth="1"/>
    <col min="9" max="9" width="12" customWidth="1"/>
    <col min="10" max="10" width="13" customWidth="1"/>
    <col min="11" max="12" width="12" customWidth="1"/>
    <col min="13" max="14" width="14" customWidth="1"/>
    <col min="15" max="15" width="10" customWidth="1"/>
    <col min="16" max="16" width="14" customWidth="1"/>
  </cols>
  <sheetData>
    <row r="1" spans="1:16"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3">
        <v>45571</v>
      </c>
      <c r="C2" s="2" t="s">
        <v>17</v>
      </c>
      <c r="D2" s="2" t="s">
        <v>18</v>
      </c>
      <c r="E2" s="2" t="s">
        <v>19</v>
      </c>
      <c r="F2" s="2" t="s">
        <v>20</v>
      </c>
      <c r="G2" s="2" t="s">
        <v>21</v>
      </c>
      <c r="H2" s="2">
        <v>48</v>
      </c>
      <c r="I2" s="4">
        <v>213.97</v>
      </c>
      <c r="J2" s="2">
        <v>20</v>
      </c>
      <c r="K2" s="2">
        <v>18</v>
      </c>
      <c r="L2" s="2" t="s">
        <v>22</v>
      </c>
      <c r="M2" s="4">
        <f t="shared" ref="M2:M65" si="0">H2*I2</f>
        <v>10270.56</v>
      </c>
      <c r="N2" s="4">
        <f t="shared" ref="N2:N65" si="1">M2*J2/100</f>
        <v>2054.1119999999996</v>
      </c>
      <c r="O2" s="4">
        <f t="shared" ref="O2:O65" si="2">(M2-N2)*K2/100</f>
        <v>1478.9606400000002</v>
      </c>
      <c r="P2" s="4">
        <f t="shared" ref="P2:P65" si="3">M2-N2+O2</f>
        <v>9695.4086400000015</v>
      </c>
    </row>
    <row r="3" spans="1:16" x14ac:dyDescent="0.25">
      <c r="A3" s="5" t="s">
        <v>23</v>
      </c>
      <c r="B3" s="6">
        <v>45305</v>
      </c>
      <c r="C3" s="5" t="s">
        <v>24</v>
      </c>
      <c r="D3" s="5" t="s">
        <v>25</v>
      </c>
      <c r="E3" s="5" t="s">
        <v>19</v>
      </c>
      <c r="F3" s="5" t="s">
        <v>26</v>
      </c>
      <c r="G3" s="5" t="s">
        <v>27</v>
      </c>
      <c r="H3" s="5">
        <v>14</v>
      </c>
      <c r="I3" s="7">
        <v>473</v>
      </c>
      <c r="J3" s="5">
        <v>15</v>
      </c>
      <c r="K3" s="5">
        <v>18</v>
      </c>
      <c r="L3" s="5" t="s">
        <v>22</v>
      </c>
      <c r="M3" s="7">
        <f t="shared" si="0"/>
        <v>6622</v>
      </c>
      <c r="N3" s="7">
        <f t="shared" si="1"/>
        <v>993.3</v>
      </c>
      <c r="O3" s="7">
        <f t="shared" si="2"/>
        <v>1013.1659999999999</v>
      </c>
      <c r="P3" s="7">
        <f t="shared" si="3"/>
        <v>6641.866</v>
      </c>
    </row>
    <row r="4" spans="1:16" x14ac:dyDescent="0.25">
      <c r="A4" s="2" t="s">
        <v>28</v>
      </c>
      <c r="B4" s="3">
        <v>45373</v>
      </c>
      <c r="C4" s="2" t="s">
        <v>24</v>
      </c>
      <c r="D4" s="2" t="s">
        <v>18</v>
      </c>
      <c r="E4" s="2" t="s">
        <v>29</v>
      </c>
      <c r="F4" s="2" t="s">
        <v>30</v>
      </c>
      <c r="G4" s="2" t="s">
        <v>31</v>
      </c>
      <c r="H4" s="2">
        <v>18</v>
      </c>
      <c r="I4" s="4">
        <v>1620.77</v>
      </c>
      <c r="J4" s="2">
        <v>0</v>
      </c>
      <c r="K4" s="2">
        <v>18</v>
      </c>
      <c r="L4" s="2" t="s">
        <v>32</v>
      </c>
      <c r="M4" s="4">
        <f t="shared" si="0"/>
        <v>29173.86</v>
      </c>
      <c r="N4" s="4">
        <f t="shared" si="1"/>
        <v>0</v>
      </c>
      <c r="O4" s="4">
        <f t="shared" si="2"/>
        <v>5251.2947999999997</v>
      </c>
      <c r="P4" s="4">
        <f t="shared" si="3"/>
        <v>34425.154800000004</v>
      </c>
    </row>
    <row r="5" spans="1:16" x14ac:dyDescent="0.25">
      <c r="A5" s="5" t="s">
        <v>33</v>
      </c>
      <c r="B5" s="6">
        <v>45475</v>
      </c>
      <c r="C5" s="5" t="s">
        <v>17</v>
      </c>
      <c r="D5" s="5" t="s">
        <v>34</v>
      </c>
      <c r="E5" s="5" t="s">
        <v>35</v>
      </c>
      <c r="F5" s="5" t="s">
        <v>36</v>
      </c>
      <c r="G5" s="5" t="s">
        <v>21</v>
      </c>
      <c r="H5" s="5">
        <v>7</v>
      </c>
      <c r="I5" s="7">
        <v>194.56</v>
      </c>
      <c r="J5" s="5">
        <v>0</v>
      </c>
      <c r="K5" s="5">
        <v>18</v>
      </c>
      <c r="L5" s="5" t="s">
        <v>22</v>
      </c>
      <c r="M5" s="7">
        <f t="shared" si="0"/>
        <v>1361.92</v>
      </c>
      <c r="N5" s="7">
        <f t="shared" si="1"/>
        <v>0</v>
      </c>
      <c r="O5" s="7">
        <f t="shared" si="2"/>
        <v>245.1456</v>
      </c>
      <c r="P5" s="7">
        <f t="shared" si="3"/>
        <v>1607.0656000000001</v>
      </c>
    </row>
    <row r="6" spans="1:16" x14ac:dyDescent="0.25">
      <c r="A6" s="2" t="s">
        <v>37</v>
      </c>
      <c r="B6" s="3">
        <v>45332</v>
      </c>
      <c r="C6" s="2" t="s">
        <v>17</v>
      </c>
      <c r="D6" s="2" t="s">
        <v>25</v>
      </c>
      <c r="E6" s="2" t="s">
        <v>38</v>
      </c>
      <c r="F6" s="2" t="s">
        <v>39</v>
      </c>
      <c r="G6" s="2" t="s">
        <v>31</v>
      </c>
      <c r="H6" s="2">
        <v>8</v>
      </c>
      <c r="I6" s="4">
        <v>1946.5</v>
      </c>
      <c r="J6" s="2">
        <v>10</v>
      </c>
      <c r="K6" s="2">
        <v>18</v>
      </c>
      <c r="L6" s="2" t="s">
        <v>32</v>
      </c>
      <c r="M6" s="4">
        <f t="shared" si="0"/>
        <v>15572</v>
      </c>
      <c r="N6" s="4">
        <f t="shared" si="1"/>
        <v>1557.2</v>
      </c>
      <c r="O6" s="4">
        <f t="shared" si="2"/>
        <v>2522.6639999999998</v>
      </c>
      <c r="P6" s="4">
        <f t="shared" si="3"/>
        <v>16537.464</v>
      </c>
    </row>
    <row r="7" spans="1:16" x14ac:dyDescent="0.25">
      <c r="A7" s="5" t="s">
        <v>40</v>
      </c>
      <c r="B7" s="6">
        <v>45332</v>
      </c>
      <c r="C7" s="5" t="s">
        <v>17</v>
      </c>
      <c r="D7" s="5" t="s">
        <v>18</v>
      </c>
      <c r="E7" s="5" t="s">
        <v>29</v>
      </c>
      <c r="F7" s="5" t="s">
        <v>41</v>
      </c>
      <c r="G7" s="5" t="s">
        <v>27</v>
      </c>
      <c r="H7" s="5">
        <v>43</v>
      </c>
      <c r="I7" s="7">
        <v>463.52</v>
      </c>
      <c r="J7" s="5">
        <v>5</v>
      </c>
      <c r="K7" s="5">
        <v>18</v>
      </c>
      <c r="L7" s="5" t="s">
        <v>22</v>
      </c>
      <c r="M7" s="7">
        <f t="shared" si="0"/>
        <v>19931.36</v>
      </c>
      <c r="N7" s="7">
        <f t="shared" si="1"/>
        <v>996.56799999999998</v>
      </c>
      <c r="O7" s="7">
        <f t="shared" si="2"/>
        <v>3408.2625600000006</v>
      </c>
      <c r="P7" s="7">
        <f t="shared" si="3"/>
        <v>22343.05456</v>
      </c>
    </row>
    <row r="8" spans="1:16" x14ac:dyDescent="0.25">
      <c r="A8" s="2" t="s">
        <v>42</v>
      </c>
      <c r="B8" s="3">
        <v>45635</v>
      </c>
      <c r="C8" s="2" t="s">
        <v>24</v>
      </c>
      <c r="D8" s="2" t="s">
        <v>43</v>
      </c>
      <c r="E8" s="2" t="s">
        <v>44</v>
      </c>
      <c r="F8" s="2" t="s">
        <v>45</v>
      </c>
      <c r="G8" s="2" t="s">
        <v>31</v>
      </c>
      <c r="H8" s="2">
        <v>11</v>
      </c>
      <c r="I8" s="4">
        <v>746.66</v>
      </c>
      <c r="J8" s="2">
        <v>0</v>
      </c>
      <c r="K8" s="2">
        <v>18</v>
      </c>
      <c r="L8" s="2" t="s">
        <v>22</v>
      </c>
      <c r="M8" s="4">
        <f t="shared" si="0"/>
        <v>8213.26</v>
      </c>
      <c r="N8" s="4">
        <f t="shared" si="1"/>
        <v>0</v>
      </c>
      <c r="O8" s="4">
        <f t="shared" si="2"/>
        <v>1478.3868</v>
      </c>
      <c r="P8" s="4">
        <f t="shared" si="3"/>
        <v>9691.6468000000004</v>
      </c>
    </row>
    <row r="9" spans="1:16" x14ac:dyDescent="0.25">
      <c r="A9" s="5" t="s">
        <v>46</v>
      </c>
      <c r="B9" s="6">
        <v>45644</v>
      </c>
      <c r="C9" s="5" t="s">
        <v>47</v>
      </c>
      <c r="D9" s="5" t="s">
        <v>18</v>
      </c>
      <c r="E9" s="5" t="s">
        <v>38</v>
      </c>
      <c r="F9" s="5" t="s">
        <v>48</v>
      </c>
      <c r="G9" s="5" t="s">
        <v>21</v>
      </c>
      <c r="H9" s="5">
        <v>25</v>
      </c>
      <c r="I9" s="7">
        <v>547.20000000000005</v>
      </c>
      <c r="J9" s="5">
        <v>20</v>
      </c>
      <c r="K9" s="5">
        <v>18</v>
      </c>
      <c r="L9" s="5" t="s">
        <v>49</v>
      </c>
      <c r="M9" s="7">
        <f t="shared" si="0"/>
        <v>13680.000000000002</v>
      </c>
      <c r="N9" s="7">
        <f t="shared" si="1"/>
        <v>2736.0000000000005</v>
      </c>
      <c r="O9" s="7">
        <f t="shared" si="2"/>
        <v>1969.9200000000003</v>
      </c>
      <c r="P9" s="7">
        <f t="shared" si="3"/>
        <v>12913.920000000002</v>
      </c>
    </row>
    <row r="10" spans="1:16" x14ac:dyDescent="0.25">
      <c r="A10" s="2" t="s">
        <v>50</v>
      </c>
      <c r="B10" s="3">
        <v>45400</v>
      </c>
      <c r="C10" s="2" t="s">
        <v>17</v>
      </c>
      <c r="D10" s="2" t="s">
        <v>25</v>
      </c>
      <c r="E10" s="2" t="s">
        <v>29</v>
      </c>
      <c r="F10" s="2" t="s">
        <v>30</v>
      </c>
      <c r="G10" s="2" t="s">
        <v>21</v>
      </c>
      <c r="H10" s="2">
        <v>21</v>
      </c>
      <c r="I10" s="4">
        <v>808.32</v>
      </c>
      <c r="J10" s="2">
        <v>0</v>
      </c>
      <c r="K10" s="2">
        <v>18</v>
      </c>
      <c r="L10" s="2" t="s">
        <v>22</v>
      </c>
      <c r="M10" s="4">
        <f t="shared" si="0"/>
        <v>16974.72</v>
      </c>
      <c r="N10" s="4">
        <f t="shared" si="1"/>
        <v>0</v>
      </c>
      <c r="O10" s="4">
        <f t="shared" si="2"/>
        <v>3055.4496000000004</v>
      </c>
      <c r="P10" s="4">
        <f t="shared" si="3"/>
        <v>20030.169600000001</v>
      </c>
    </row>
    <row r="11" spans="1:16" x14ac:dyDescent="0.25">
      <c r="A11" s="5" t="s">
        <v>51</v>
      </c>
      <c r="B11" s="6">
        <v>45579</v>
      </c>
      <c r="C11" s="5" t="s">
        <v>47</v>
      </c>
      <c r="D11" s="5" t="s">
        <v>52</v>
      </c>
      <c r="E11" s="5" t="s">
        <v>29</v>
      </c>
      <c r="F11" s="5" t="s">
        <v>41</v>
      </c>
      <c r="G11" s="5" t="s">
        <v>31</v>
      </c>
      <c r="H11" s="5">
        <v>10</v>
      </c>
      <c r="I11" s="7">
        <v>537.11</v>
      </c>
      <c r="J11" s="5">
        <v>0</v>
      </c>
      <c r="K11" s="5">
        <v>18</v>
      </c>
      <c r="L11" s="5" t="s">
        <v>49</v>
      </c>
      <c r="M11" s="7">
        <f t="shared" si="0"/>
        <v>5371.1</v>
      </c>
      <c r="N11" s="7">
        <f t="shared" si="1"/>
        <v>0</v>
      </c>
      <c r="O11" s="7">
        <f t="shared" si="2"/>
        <v>966.798</v>
      </c>
      <c r="P11" s="7">
        <f t="shared" si="3"/>
        <v>6337.8980000000001</v>
      </c>
    </row>
    <row r="12" spans="1:16" x14ac:dyDescent="0.25">
      <c r="A12" s="2" t="s">
        <v>53</v>
      </c>
      <c r="B12" s="3">
        <v>45316</v>
      </c>
      <c r="C12" s="2" t="s">
        <v>24</v>
      </c>
      <c r="D12" s="2" t="s">
        <v>54</v>
      </c>
      <c r="E12" s="2" t="s">
        <v>29</v>
      </c>
      <c r="F12" s="2" t="s">
        <v>41</v>
      </c>
      <c r="G12" s="2" t="s">
        <v>55</v>
      </c>
      <c r="H12" s="2">
        <v>9</v>
      </c>
      <c r="I12" s="4">
        <v>1023.96</v>
      </c>
      <c r="J12" s="2">
        <v>0</v>
      </c>
      <c r="K12" s="2">
        <v>18</v>
      </c>
      <c r="L12" s="2" t="s">
        <v>22</v>
      </c>
      <c r="M12" s="4">
        <f t="shared" si="0"/>
        <v>9215.64</v>
      </c>
      <c r="N12" s="4">
        <f t="shared" si="1"/>
        <v>0</v>
      </c>
      <c r="O12" s="4">
        <f t="shared" si="2"/>
        <v>1658.8152</v>
      </c>
      <c r="P12" s="4">
        <f t="shared" si="3"/>
        <v>10874.4552</v>
      </c>
    </row>
    <row r="13" spans="1:16" x14ac:dyDescent="0.25">
      <c r="A13" s="5" t="s">
        <v>56</v>
      </c>
      <c r="B13" s="6">
        <v>45562</v>
      </c>
      <c r="C13" s="5" t="s">
        <v>47</v>
      </c>
      <c r="D13" s="5" t="s">
        <v>54</v>
      </c>
      <c r="E13" s="5" t="s">
        <v>19</v>
      </c>
      <c r="F13" s="5" t="s">
        <v>57</v>
      </c>
      <c r="G13" s="5" t="s">
        <v>27</v>
      </c>
      <c r="H13" s="5">
        <v>25</v>
      </c>
      <c r="I13" s="7">
        <v>1195.82</v>
      </c>
      <c r="J13" s="5">
        <v>10</v>
      </c>
      <c r="K13" s="5">
        <v>18</v>
      </c>
      <c r="L13" s="5" t="s">
        <v>49</v>
      </c>
      <c r="M13" s="7">
        <f t="shared" si="0"/>
        <v>29895.5</v>
      </c>
      <c r="N13" s="7">
        <f t="shared" si="1"/>
        <v>2989.55</v>
      </c>
      <c r="O13" s="7">
        <f t="shared" si="2"/>
        <v>4843.0709999999999</v>
      </c>
      <c r="P13" s="7">
        <f t="shared" si="3"/>
        <v>31749.021000000001</v>
      </c>
    </row>
    <row r="14" spans="1:16" x14ac:dyDescent="0.25">
      <c r="A14" s="2" t="s">
        <v>58</v>
      </c>
      <c r="B14" s="3">
        <v>45524</v>
      </c>
      <c r="C14" s="2" t="s">
        <v>59</v>
      </c>
      <c r="D14" s="2" t="s">
        <v>60</v>
      </c>
      <c r="E14" s="2" t="s">
        <v>38</v>
      </c>
      <c r="F14" s="2" t="s">
        <v>39</v>
      </c>
      <c r="G14" s="2" t="s">
        <v>55</v>
      </c>
      <c r="H14" s="2">
        <v>8</v>
      </c>
      <c r="I14" s="4">
        <v>594.07000000000005</v>
      </c>
      <c r="J14" s="2">
        <v>0</v>
      </c>
      <c r="K14" s="2">
        <v>18</v>
      </c>
      <c r="L14" s="2" t="s">
        <v>22</v>
      </c>
      <c r="M14" s="4">
        <f t="shared" si="0"/>
        <v>4752.5600000000004</v>
      </c>
      <c r="N14" s="4">
        <f t="shared" si="1"/>
        <v>0</v>
      </c>
      <c r="O14" s="4">
        <f t="shared" si="2"/>
        <v>855.46080000000006</v>
      </c>
      <c r="P14" s="4">
        <f t="shared" si="3"/>
        <v>5608.0208000000002</v>
      </c>
    </row>
    <row r="15" spans="1:16" x14ac:dyDescent="0.25">
      <c r="A15" s="5" t="s">
        <v>61</v>
      </c>
      <c r="B15" s="6">
        <v>45374</v>
      </c>
      <c r="C15" s="5" t="s">
        <v>47</v>
      </c>
      <c r="D15" s="5" t="s">
        <v>60</v>
      </c>
      <c r="E15" s="5" t="s">
        <v>19</v>
      </c>
      <c r="F15" s="5" t="s">
        <v>62</v>
      </c>
      <c r="G15" s="5" t="s">
        <v>55</v>
      </c>
      <c r="H15" s="5">
        <v>39</v>
      </c>
      <c r="I15" s="7">
        <v>405.83</v>
      </c>
      <c r="J15" s="5">
        <v>5</v>
      </c>
      <c r="K15" s="5">
        <v>18</v>
      </c>
      <c r="L15" s="5" t="s">
        <v>32</v>
      </c>
      <c r="M15" s="7">
        <f t="shared" si="0"/>
        <v>15827.369999999999</v>
      </c>
      <c r="N15" s="7">
        <f t="shared" si="1"/>
        <v>791.36849999999993</v>
      </c>
      <c r="O15" s="7">
        <f t="shared" si="2"/>
        <v>2706.48027</v>
      </c>
      <c r="P15" s="7">
        <f t="shared" si="3"/>
        <v>17742.481769999999</v>
      </c>
    </row>
    <row r="16" spans="1:16" x14ac:dyDescent="0.25">
      <c r="A16" s="2" t="s">
        <v>63</v>
      </c>
      <c r="B16" s="3">
        <v>45414</v>
      </c>
      <c r="C16" s="2" t="s">
        <v>59</v>
      </c>
      <c r="D16" s="2" t="s">
        <v>64</v>
      </c>
      <c r="E16" s="2" t="s">
        <v>29</v>
      </c>
      <c r="F16" s="2" t="s">
        <v>65</v>
      </c>
      <c r="G16" s="2" t="s">
        <v>31</v>
      </c>
      <c r="H16" s="2">
        <v>8</v>
      </c>
      <c r="I16" s="4">
        <v>1858.91</v>
      </c>
      <c r="J16" s="2">
        <v>5</v>
      </c>
      <c r="K16" s="2">
        <v>18</v>
      </c>
      <c r="L16" s="2" t="s">
        <v>22</v>
      </c>
      <c r="M16" s="4">
        <f t="shared" si="0"/>
        <v>14871.28</v>
      </c>
      <c r="N16" s="4">
        <f t="shared" si="1"/>
        <v>743.56400000000008</v>
      </c>
      <c r="O16" s="4">
        <f t="shared" si="2"/>
        <v>2542.9888799999999</v>
      </c>
      <c r="P16" s="4">
        <f t="shared" si="3"/>
        <v>16670.704880000001</v>
      </c>
    </row>
    <row r="17" spans="1:16" x14ac:dyDescent="0.25">
      <c r="A17" s="5" t="s">
        <v>66</v>
      </c>
      <c r="B17" s="6">
        <v>45357</v>
      </c>
      <c r="C17" s="5" t="s">
        <v>59</v>
      </c>
      <c r="D17" s="5" t="s">
        <v>60</v>
      </c>
      <c r="E17" s="5" t="s">
        <v>19</v>
      </c>
      <c r="F17" s="5" t="s">
        <v>57</v>
      </c>
      <c r="G17" s="5" t="s">
        <v>31</v>
      </c>
      <c r="H17" s="5">
        <v>49</v>
      </c>
      <c r="I17" s="7">
        <v>1070.0899999999999</v>
      </c>
      <c r="J17" s="5">
        <v>0</v>
      </c>
      <c r="K17" s="5">
        <v>18</v>
      </c>
      <c r="L17" s="5" t="s">
        <v>22</v>
      </c>
      <c r="M17" s="7">
        <f t="shared" si="0"/>
        <v>52434.409999999996</v>
      </c>
      <c r="N17" s="7">
        <f t="shared" si="1"/>
        <v>0</v>
      </c>
      <c r="O17" s="7">
        <f t="shared" si="2"/>
        <v>9438.1937999999991</v>
      </c>
      <c r="P17" s="7">
        <f t="shared" si="3"/>
        <v>61872.603799999997</v>
      </c>
    </row>
    <row r="18" spans="1:16" x14ac:dyDescent="0.25">
      <c r="A18" s="2" t="s">
        <v>67</v>
      </c>
      <c r="B18" s="3">
        <v>45394</v>
      </c>
      <c r="C18" s="2" t="s">
        <v>47</v>
      </c>
      <c r="D18" s="2" t="s">
        <v>43</v>
      </c>
      <c r="E18" s="2" t="s">
        <v>35</v>
      </c>
      <c r="F18" s="2" t="s">
        <v>68</v>
      </c>
      <c r="G18" s="2" t="s">
        <v>31</v>
      </c>
      <c r="H18" s="2">
        <v>35</v>
      </c>
      <c r="I18" s="4">
        <v>1512.98</v>
      </c>
      <c r="J18" s="2">
        <v>20</v>
      </c>
      <c r="K18" s="2">
        <v>18</v>
      </c>
      <c r="L18" s="2" t="s">
        <v>22</v>
      </c>
      <c r="M18" s="4">
        <f t="shared" si="0"/>
        <v>52954.3</v>
      </c>
      <c r="N18" s="4">
        <f t="shared" si="1"/>
        <v>10590.86</v>
      </c>
      <c r="O18" s="4">
        <f t="shared" si="2"/>
        <v>7625.4192000000003</v>
      </c>
      <c r="P18" s="4">
        <f t="shared" si="3"/>
        <v>49988.859200000006</v>
      </c>
    </row>
    <row r="19" spans="1:16" x14ac:dyDescent="0.25">
      <c r="A19" s="5" t="s">
        <v>69</v>
      </c>
      <c r="B19" s="6">
        <v>45302</v>
      </c>
      <c r="C19" s="5" t="s">
        <v>17</v>
      </c>
      <c r="D19" s="5" t="s">
        <v>52</v>
      </c>
      <c r="E19" s="5" t="s">
        <v>38</v>
      </c>
      <c r="F19" s="5" t="s">
        <v>70</v>
      </c>
      <c r="G19" s="5" t="s">
        <v>31</v>
      </c>
      <c r="H19" s="5">
        <v>16</v>
      </c>
      <c r="I19" s="7">
        <v>457.15</v>
      </c>
      <c r="J19" s="5">
        <v>5</v>
      </c>
      <c r="K19" s="5">
        <v>18</v>
      </c>
      <c r="L19" s="5" t="s">
        <v>22</v>
      </c>
      <c r="M19" s="7">
        <f t="shared" si="0"/>
        <v>7314.4</v>
      </c>
      <c r="N19" s="7">
        <f t="shared" si="1"/>
        <v>365.72</v>
      </c>
      <c r="O19" s="7">
        <f t="shared" si="2"/>
        <v>1250.7623999999998</v>
      </c>
      <c r="P19" s="7">
        <f t="shared" si="3"/>
        <v>8199.4423999999999</v>
      </c>
    </row>
    <row r="20" spans="1:16" x14ac:dyDescent="0.25">
      <c r="A20" s="2" t="s">
        <v>71</v>
      </c>
      <c r="B20" s="3">
        <v>45326</v>
      </c>
      <c r="C20" s="2" t="s">
        <v>47</v>
      </c>
      <c r="D20" s="2" t="s">
        <v>18</v>
      </c>
      <c r="E20" s="2" t="s">
        <v>29</v>
      </c>
      <c r="F20" s="2" t="s">
        <v>65</v>
      </c>
      <c r="G20" s="2" t="s">
        <v>27</v>
      </c>
      <c r="H20" s="2">
        <v>46</v>
      </c>
      <c r="I20" s="4">
        <v>1265.8900000000001</v>
      </c>
      <c r="J20" s="2">
        <v>0</v>
      </c>
      <c r="K20" s="2">
        <v>18</v>
      </c>
      <c r="L20" s="2" t="s">
        <v>22</v>
      </c>
      <c r="M20" s="4">
        <f t="shared" si="0"/>
        <v>58230.94</v>
      </c>
      <c r="N20" s="4">
        <f t="shared" si="1"/>
        <v>0</v>
      </c>
      <c r="O20" s="4">
        <f t="shared" si="2"/>
        <v>10481.5692</v>
      </c>
      <c r="P20" s="4">
        <f t="shared" si="3"/>
        <v>68712.5092</v>
      </c>
    </row>
    <row r="21" spans="1:16" x14ac:dyDescent="0.25">
      <c r="A21" s="5" t="s">
        <v>72</v>
      </c>
      <c r="B21" s="6">
        <v>45584</v>
      </c>
      <c r="C21" s="5" t="s">
        <v>59</v>
      </c>
      <c r="D21" s="5" t="s">
        <v>18</v>
      </c>
      <c r="E21" s="5" t="s">
        <v>19</v>
      </c>
      <c r="F21" s="5" t="s">
        <v>62</v>
      </c>
      <c r="G21" s="5" t="s">
        <v>55</v>
      </c>
      <c r="H21" s="5">
        <v>14</v>
      </c>
      <c r="I21" s="7">
        <v>1083.08</v>
      </c>
      <c r="J21" s="5">
        <v>20</v>
      </c>
      <c r="K21" s="5">
        <v>18</v>
      </c>
      <c r="L21" s="5" t="s">
        <v>49</v>
      </c>
      <c r="M21" s="7">
        <f t="shared" si="0"/>
        <v>15163.119999999999</v>
      </c>
      <c r="N21" s="7">
        <f t="shared" si="1"/>
        <v>3032.6239999999998</v>
      </c>
      <c r="O21" s="7">
        <f t="shared" si="2"/>
        <v>2183.4892799999998</v>
      </c>
      <c r="P21" s="7">
        <f t="shared" si="3"/>
        <v>14313.985279999999</v>
      </c>
    </row>
    <row r="22" spans="1:16" x14ac:dyDescent="0.25">
      <c r="A22" s="2" t="s">
        <v>73</v>
      </c>
      <c r="B22" s="3">
        <v>45473</v>
      </c>
      <c r="C22" s="2" t="s">
        <v>47</v>
      </c>
      <c r="D22" s="2" t="s">
        <v>52</v>
      </c>
      <c r="E22" s="2" t="s">
        <v>29</v>
      </c>
      <c r="F22" s="2" t="s">
        <v>74</v>
      </c>
      <c r="G22" s="2" t="s">
        <v>31</v>
      </c>
      <c r="H22" s="2">
        <v>7</v>
      </c>
      <c r="I22" s="4">
        <v>202.89</v>
      </c>
      <c r="J22" s="2">
        <v>10</v>
      </c>
      <c r="K22" s="2">
        <v>18</v>
      </c>
      <c r="L22" s="2" t="s">
        <v>22</v>
      </c>
      <c r="M22" s="4">
        <f t="shared" si="0"/>
        <v>1420.23</v>
      </c>
      <c r="N22" s="4">
        <f t="shared" si="1"/>
        <v>142.023</v>
      </c>
      <c r="O22" s="4">
        <f t="shared" si="2"/>
        <v>230.07726000000002</v>
      </c>
      <c r="P22" s="4">
        <f t="shared" si="3"/>
        <v>1508.2842600000001</v>
      </c>
    </row>
    <row r="23" spans="1:16" x14ac:dyDescent="0.25">
      <c r="A23" s="5" t="s">
        <v>75</v>
      </c>
      <c r="B23" s="6">
        <v>45419</v>
      </c>
      <c r="C23" s="5" t="s">
        <v>24</v>
      </c>
      <c r="D23" s="5" t="s">
        <v>25</v>
      </c>
      <c r="E23" s="5" t="s">
        <v>35</v>
      </c>
      <c r="F23" s="5" t="s">
        <v>76</v>
      </c>
      <c r="G23" s="5" t="s">
        <v>27</v>
      </c>
      <c r="H23" s="5">
        <v>26</v>
      </c>
      <c r="I23" s="7">
        <v>1459.15</v>
      </c>
      <c r="J23" s="5">
        <v>0</v>
      </c>
      <c r="K23" s="5">
        <v>18</v>
      </c>
      <c r="L23" s="5" t="s">
        <v>22</v>
      </c>
      <c r="M23" s="7">
        <f t="shared" si="0"/>
        <v>37937.9</v>
      </c>
      <c r="N23" s="7">
        <f t="shared" si="1"/>
        <v>0</v>
      </c>
      <c r="O23" s="7">
        <f t="shared" si="2"/>
        <v>6828.822000000001</v>
      </c>
      <c r="P23" s="7">
        <f t="shared" si="3"/>
        <v>44766.722000000002</v>
      </c>
    </row>
    <row r="24" spans="1:16" x14ac:dyDescent="0.25">
      <c r="A24" s="2" t="s">
        <v>77</v>
      </c>
      <c r="B24" s="3">
        <v>45518</v>
      </c>
      <c r="C24" s="2" t="s">
        <v>24</v>
      </c>
      <c r="D24" s="2" t="s">
        <v>34</v>
      </c>
      <c r="E24" s="2" t="s">
        <v>44</v>
      </c>
      <c r="F24" s="2" t="s">
        <v>78</v>
      </c>
      <c r="G24" s="2" t="s">
        <v>31</v>
      </c>
      <c r="H24" s="2">
        <v>18</v>
      </c>
      <c r="I24" s="4">
        <v>930.63</v>
      </c>
      <c r="J24" s="2">
        <v>0</v>
      </c>
      <c r="K24" s="2">
        <v>18</v>
      </c>
      <c r="L24" s="2" t="s">
        <v>22</v>
      </c>
      <c r="M24" s="4">
        <f t="shared" si="0"/>
        <v>16751.34</v>
      </c>
      <c r="N24" s="4">
        <f t="shared" si="1"/>
        <v>0</v>
      </c>
      <c r="O24" s="4">
        <f t="shared" si="2"/>
        <v>3015.2411999999999</v>
      </c>
      <c r="P24" s="4">
        <f t="shared" si="3"/>
        <v>19766.581200000001</v>
      </c>
    </row>
    <row r="25" spans="1:16" x14ac:dyDescent="0.25">
      <c r="A25" s="5" t="s">
        <v>79</v>
      </c>
      <c r="B25" s="6">
        <v>45401</v>
      </c>
      <c r="C25" s="5" t="s">
        <v>59</v>
      </c>
      <c r="D25" s="5" t="s">
        <v>25</v>
      </c>
      <c r="E25" s="5" t="s">
        <v>29</v>
      </c>
      <c r="F25" s="5" t="s">
        <v>80</v>
      </c>
      <c r="G25" s="5" t="s">
        <v>27</v>
      </c>
      <c r="H25" s="5">
        <v>11</v>
      </c>
      <c r="I25" s="7">
        <v>818.76</v>
      </c>
      <c r="J25" s="5">
        <v>10</v>
      </c>
      <c r="K25" s="5">
        <v>18</v>
      </c>
      <c r="L25" s="5" t="s">
        <v>22</v>
      </c>
      <c r="M25" s="7">
        <f t="shared" si="0"/>
        <v>9006.36</v>
      </c>
      <c r="N25" s="7">
        <f t="shared" si="1"/>
        <v>900.63600000000008</v>
      </c>
      <c r="O25" s="7">
        <f t="shared" si="2"/>
        <v>1459.0303200000001</v>
      </c>
      <c r="P25" s="7">
        <f t="shared" si="3"/>
        <v>9564.75432</v>
      </c>
    </row>
    <row r="26" spans="1:16" x14ac:dyDescent="0.25">
      <c r="A26" s="2" t="s">
        <v>81</v>
      </c>
      <c r="B26" s="3">
        <v>45438</v>
      </c>
      <c r="C26" s="2" t="s">
        <v>47</v>
      </c>
      <c r="D26" s="2" t="s">
        <v>54</v>
      </c>
      <c r="E26" s="2" t="s">
        <v>35</v>
      </c>
      <c r="F26" s="2" t="s">
        <v>82</v>
      </c>
      <c r="G26" s="2" t="s">
        <v>27</v>
      </c>
      <c r="H26" s="2">
        <v>17</v>
      </c>
      <c r="I26" s="4">
        <v>1853.77</v>
      </c>
      <c r="J26" s="2">
        <v>10</v>
      </c>
      <c r="K26" s="2">
        <v>18</v>
      </c>
      <c r="L26" s="2" t="s">
        <v>49</v>
      </c>
      <c r="M26" s="4">
        <f t="shared" si="0"/>
        <v>31514.09</v>
      </c>
      <c r="N26" s="4">
        <f t="shared" si="1"/>
        <v>3151.4090000000001</v>
      </c>
      <c r="O26" s="4">
        <f t="shared" si="2"/>
        <v>5105.2825800000001</v>
      </c>
      <c r="P26" s="4">
        <f t="shared" si="3"/>
        <v>33467.963580000003</v>
      </c>
    </row>
    <row r="27" spans="1:16" x14ac:dyDescent="0.25">
      <c r="A27" s="5" t="s">
        <v>83</v>
      </c>
      <c r="B27" s="6">
        <v>45569</v>
      </c>
      <c r="C27" s="5" t="s">
        <v>24</v>
      </c>
      <c r="D27" s="5" t="s">
        <v>34</v>
      </c>
      <c r="E27" s="5" t="s">
        <v>35</v>
      </c>
      <c r="F27" s="5" t="s">
        <v>68</v>
      </c>
      <c r="G27" s="5" t="s">
        <v>21</v>
      </c>
      <c r="H27" s="5">
        <v>14</v>
      </c>
      <c r="I27" s="7">
        <v>1937.73</v>
      </c>
      <c r="J27" s="5">
        <v>15</v>
      </c>
      <c r="K27" s="5">
        <v>18</v>
      </c>
      <c r="L27" s="5" t="s">
        <v>22</v>
      </c>
      <c r="M27" s="7">
        <f t="shared" si="0"/>
        <v>27128.22</v>
      </c>
      <c r="N27" s="7">
        <f t="shared" si="1"/>
        <v>4069.2330000000006</v>
      </c>
      <c r="O27" s="7">
        <f t="shared" si="2"/>
        <v>4150.6176599999999</v>
      </c>
      <c r="P27" s="7">
        <f t="shared" si="3"/>
        <v>27209.604660000001</v>
      </c>
    </row>
    <row r="28" spans="1:16" x14ac:dyDescent="0.25">
      <c r="A28" s="2" t="s">
        <v>84</v>
      </c>
      <c r="B28" s="3">
        <v>45333</v>
      </c>
      <c r="C28" s="2" t="s">
        <v>59</v>
      </c>
      <c r="D28" s="2" t="s">
        <v>25</v>
      </c>
      <c r="E28" s="2" t="s">
        <v>19</v>
      </c>
      <c r="F28" s="2" t="s">
        <v>62</v>
      </c>
      <c r="G28" s="2" t="s">
        <v>31</v>
      </c>
      <c r="H28" s="2">
        <v>34</v>
      </c>
      <c r="I28" s="4">
        <v>323.29000000000002</v>
      </c>
      <c r="J28" s="2">
        <v>15</v>
      </c>
      <c r="K28" s="2">
        <v>18</v>
      </c>
      <c r="L28" s="2" t="s">
        <v>32</v>
      </c>
      <c r="M28" s="4">
        <f t="shared" si="0"/>
        <v>10991.86</v>
      </c>
      <c r="N28" s="4">
        <f t="shared" si="1"/>
        <v>1648.7790000000002</v>
      </c>
      <c r="O28" s="4">
        <f t="shared" si="2"/>
        <v>1681.75458</v>
      </c>
      <c r="P28" s="4">
        <f t="shared" si="3"/>
        <v>11024.835580000001</v>
      </c>
    </row>
    <row r="29" spans="1:16" x14ac:dyDescent="0.25">
      <c r="A29" s="5" t="s">
        <v>85</v>
      </c>
      <c r="B29" s="6">
        <v>45312</v>
      </c>
      <c r="C29" s="5" t="s">
        <v>59</v>
      </c>
      <c r="D29" s="5" t="s">
        <v>18</v>
      </c>
      <c r="E29" s="5" t="s">
        <v>44</v>
      </c>
      <c r="F29" s="5" t="s">
        <v>45</v>
      </c>
      <c r="G29" s="5" t="s">
        <v>31</v>
      </c>
      <c r="H29" s="5">
        <v>37</v>
      </c>
      <c r="I29" s="7">
        <v>499.97</v>
      </c>
      <c r="J29" s="5">
        <v>15</v>
      </c>
      <c r="K29" s="5">
        <v>18</v>
      </c>
      <c r="L29" s="5" t="s">
        <v>22</v>
      </c>
      <c r="M29" s="7">
        <f t="shared" si="0"/>
        <v>18498.89</v>
      </c>
      <c r="N29" s="7">
        <f t="shared" si="1"/>
        <v>2774.8334999999997</v>
      </c>
      <c r="O29" s="7">
        <f t="shared" si="2"/>
        <v>2830.3301699999997</v>
      </c>
      <c r="P29" s="7">
        <f t="shared" si="3"/>
        <v>18554.38667</v>
      </c>
    </row>
    <row r="30" spans="1:16" x14ac:dyDescent="0.25">
      <c r="A30" s="2" t="s">
        <v>86</v>
      </c>
      <c r="B30" s="3">
        <v>45427</v>
      </c>
      <c r="C30" s="2" t="s">
        <v>24</v>
      </c>
      <c r="D30" s="2" t="s">
        <v>64</v>
      </c>
      <c r="E30" s="2" t="s">
        <v>29</v>
      </c>
      <c r="F30" s="2" t="s">
        <v>80</v>
      </c>
      <c r="G30" s="2" t="s">
        <v>55</v>
      </c>
      <c r="H30" s="2">
        <v>43</v>
      </c>
      <c r="I30" s="4">
        <v>1435.22</v>
      </c>
      <c r="J30" s="2">
        <v>0</v>
      </c>
      <c r="K30" s="2">
        <v>18</v>
      </c>
      <c r="L30" s="2" t="s">
        <v>22</v>
      </c>
      <c r="M30" s="4">
        <f t="shared" si="0"/>
        <v>61714.46</v>
      </c>
      <c r="N30" s="4">
        <f t="shared" si="1"/>
        <v>0</v>
      </c>
      <c r="O30" s="4">
        <f t="shared" si="2"/>
        <v>11108.602800000001</v>
      </c>
      <c r="P30" s="4">
        <f t="shared" si="3"/>
        <v>72823.0628</v>
      </c>
    </row>
    <row r="31" spans="1:16" x14ac:dyDescent="0.25">
      <c r="A31" s="5" t="s">
        <v>87</v>
      </c>
      <c r="B31" s="6">
        <v>45343</v>
      </c>
      <c r="C31" s="5" t="s">
        <v>17</v>
      </c>
      <c r="D31" s="5" t="s">
        <v>52</v>
      </c>
      <c r="E31" s="5" t="s">
        <v>35</v>
      </c>
      <c r="F31" s="5" t="s">
        <v>88</v>
      </c>
      <c r="G31" s="5" t="s">
        <v>55</v>
      </c>
      <c r="H31" s="5">
        <v>1</v>
      </c>
      <c r="I31" s="7">
        <v>921.99</v>
      </c>
      <c r="J31" s="5">
        <v>15</v>
      </c>
      <c r="K31" s="5">
        <v>18</v>
      </c>
      <c r="L31" s="5" t="s">
        <v>22</v>
      </c>
      <c r="M31" s="7">
        <f t="shared" si="0"/>
        <v>921.99</v>
      </c>
      <c r="N31" s="7">
        <f t="shared" si="1"/>
        <v>138.29849999999999</v>
      </c>
      <c r="O31" s="7">
        <f t="shared" si="2"/>
        <v>141.06447</v>
      </c>
      <c r="P31" s="7">
        <f t="shared" si="3"/>
        <v>924.75597000000005</v>
      </c>
    </row>
    <row r="32" spans="1:16" x14ac:dyDescent="0.25">
      <c r="A32" s="2" t="s">
        <v>89</v>
      </c>
      <c r="B32" s="3">
        <v>45437</v>
      </c>
      <c r="C32" s="2" t="s">
        <v>47</v>
      </c>
      <c r="D32" s="2" t="s">
        <v>43</v>
      </c>
      <c r="E32" s="2" t="s">
        <v>19</v>
      </c>
      <c r="F32" s="2" t="s">
        <v>26</v>
      </c>
      <c r="G32" s="2" t="s">
        <v>21</v>
      </c>
      <c r="H32" s="2">
        <v>5</v>
      </c>
      <c r="I32" s="4">
        <v>1759.75</v>
      </c>
      <c r="J32" s="2">
        <v>5</v>
      </c>
      <c r="K32" s="2">
        <v>18</v>
      </c>
      <c r="L32" s="2" t="s">
        <v>22</v>
      </c>
      <c r="M32" s="4">
        <f t="shared" si="0"/>
        <v>8798.75</v>
      </c>
      <c r="N32" s="4">
        <f t="shared" si="1"/>
        <v>439.9375</v>
      </c>
      <c r="O32" s="4">
        <f t="shared" si="2"/>
        <v>1504.5862500000001</v>
      </c>
      <c r="P32" s="4">
        <f t="shared" si="3"/>
        <v>9863.3987500000003</v>
      </c>
    </row>
    <row r="33" spans="1:16" x14ac:dyDescent="0.25">
      <c r="A33" s="5" t="s">
        <v>90</v>
      </c>
      <c r="B33" s="6">
        <v>45575</v>
      </c>
      <c r="C33" s="5" t="s">
        <v>17</v>
      </c>
      <c r="D33" s="5" t="s">
        <v>25</v>
      </c>
      <c r="E33" s="5" t="s">
        <v>44</v>
      </c>
      <c r="F33" s="5" t="s">
        <v>91</v>
      </c>
      <c r="G33" s="5" t="s">
        <v>55</v>
      </c>
      <c r="H33" s="5">
        <v>9</v>
      </c>
      <c r="I33" s="7">
        <v>536.29</v>
      </c>
      <c r="J33" s="5">
        <v>0</v>
      </c>
      <c r="K33" s="5">
        <v>18</v>
      </c>
      <c r="L33" s="5" t="s">
        <v>22</v>
      </c>
      <c r="M33" s="7">
        <f t="shared" si="0"/>
        <v>4826.6099999999997</v>
      </c>
      <c r="N33" s="7">
        <f t="shared" si="1"/>
        <v>0</v>
      </c>
      <c r="O33" s="7">
        <f t="shared" si="2"/>
        <v>868.78980000000001</v>
      </c>
      <c r="P33" s="7">
        <f t="shared" si="3"/>
        <v>5695.3997999999992</v>
      </c>
    </row>
    <row r="34" spans="1:16" x14ac:dyDescent="0.25">
      <c r="A34" s="2" t="s">
        <v>92</v>
      </c>
      <c r="B34" s="3">
        <v>45550</v>
      </c>
      <c r="C34" s="2" t="s">
        <v>17</v>
      </c>
      <c r="D34" s="2" t="s">
        <v>18</v>
      </c>
      <c r="E34" s="2" t="s">
        <v>44</v>
      </c>
      <c r="F34" s="2" t="s">
        <v>93</v>
      </c>
      <c r="G34" s="2" t="s">
        <v>55</v>
      </c>
      <c r="H34" s="2">
        <v>44</v>
      </c>
      <c r="I34" s="4">
        <v>1272.1300000000001</v>
      </c>
      <c r="J34" s="2">
        <v>5</v>
      </c>
      <c r="K34" s="2">
        <v>18</v>
      </c>
      <c r="L34" s="2" t="s">
        <v>22</v>
      </c>
      <c r="M34" s="4">
        <f t="shared" si="0"/>
        <v>55973.72</v>
      </c>
      <c r="N34" s="4">
        <f t="shared" si="1"/>
        <v>2798.6859999999997</v>
      </c>
      <c r="O34" s="4">
        <f t="shared" si="2"/>
        <v>9571.50612</v>
      </c>
      <c r="P34" s="4">
        <f t="shared" si="3"/>
        <v>62746.540119999998</v>
      </c>
    </row>
    <row r="35" spans="1:16" x14ac:dyDescent="0.25">
      <c r="A35" s="5" t="s">
        <v>94</v>
      </c>
      <c r="B35" s="6">
        <v>45618</v>
      </c>
      <c r="C35" s="5" t="s">
        <v>59</v>
      </c>
      <c r="D35" s="5" t="s">
        <v>60</v>
      </c>
      <c r="E35" s="5" t="s">
        <v>35</v>
      </c>
      <c r="F35" s="5" t="s">
        <v>36</v>
      </c>
      <c r="G35" s="5" t="s">
        <v>31</v>
      </c>
      <c r="H35" s="5">
        <v>3</v>
      </c>
      <c r="I35" s="7">
        <v>17.059999999999999</v>
      </c>
      <c r="J35" s="5">
        <v>0</v>
      </c>
      <c r="K35" s="5">
        <v>18</v>
      </c>
      <c r="L35" s="5" t="s">
        <v>22</v>
      </c>
      <c r="M35" s="7">
        <f t="shared" si="0"/>
        <v>51.179999999999993</v>
      </c>
      <c r="N35" s="7">
        <f t="shared" si="1"/>
        <v>0</v>
      </c>
      <c r="O35" s="7">
        <f t="shared" si="2"/>
        <v>9.2123999999999988</v>
      </c>
      <c r="P35" s="7">
        <f t="shared" si="3"/>
        <v>60.392399999999995</v>
      </c>
    </row>
    <row r="36" spans="1:16" x14ac:dyDescent="0.25">
      <c r="A36" s="2" t="s">
        <v>95</v>
      </c>
      <c r="B36" s="3">
        <v>45368</v>
      </c>
      <c r="C36" s="2" t="s">
        <v>24</v>
      </c>
      <c r="D36" s="2" t="s">
        <v>54</v>
      </c>
      <c r="E36" s="2" t="s">
        <v>38</v>
      </c>
      <c r="F36" s="2" t="s">
        <v>96</v>
      </c>
      <c r="G36" s="2" t="s">
        <v>27</v>
      </c>
      <c r="H36" s="2">
        <v>5</v>
      </c>
      <c r="I36" s="4">
        <v>1890.65</v>
      </c>
      <c r="J36" s="2">
        <v>20</v>
      </c>
      <c r="K36" s="2">
        <v>18</v>
      </c>
      <c r="L36" s="2" t="s">
        <v>22</v>
      </c>
      <c r="M36" s="4">
        <f t="shared" si="0"/>
        <v>9453.25</v>
      </c>
      <c r="N36" s="4">
        <f t="shared" si="1"/>
        <v>1890.65</v>
      </c>
      <c r="O36" s="4">
        <f t="shared" si="2"/>
        <v>1361.2680000000003</v>
      </c>
      <c r="P36" s="4">
        <f t="shared" si="3"/>
        <v>8923.8680000000004</v>
      </c>
    </row>
    <row r="37" spans="1:16" x14ac:dyDescent="0.25">
      <c r="A37" s="5" t="s">
        <v>97</v>
      </c>
      <c r="B37" s="6">
        <v>45475</v>
      </c>
      <c r="C37" s="5" t="s">
        <v>17</v>
      </c>
      <c r="D37" s="5" t="s">
        <v>34</v>
      </c>
      <c r="E37" s="5" t="s">
        <v>29</v>
      </c>
      <c r="F37" s="5" t="s">
        <v>80</v>
      </c>
      <c r="G37" s="5" t="s">
        <v>31</v>
      </c>
      <c r="H37" s="5">
        <v>3</v>
      </c>
      <c r="I37" s="7">
        <v>623.42999999999995</v>
      </c>
      <c r="J37" s="5">
        <v>0</v>
      </c>
      <c r="K37" s="5">
        <v>18</v>
      </c>
      <c r="L37" s="5" t="s">
        <v>22</v>
      </c>
      <c r="M37" s="7">
        <f t="shared" si="0"/>
        <v>1870.29</v>
      </c>
      <c r="N37" s="7">
        <f t="shared" si="1"/>
        <v>0</v>
      </c>
      <c r="O37" s="7">
        <f t="shared" si="2"/>
        <v>336.65219999999999</v>
      </c>
      <c r="P37" s="7">
        <f t="shared" si="3"/>
        <v>2206.9422</v>
      </c>
    </row>
    <row r="38" spans="1:16" x14ac:dyDescent="0.25">
      <c r="A38" s="2" t="s">
        <v>98</v>
      </c>
      <c r="B38" s="3">
        <v>45375</v>
      </c>
      <c r="C38" s="2" t="s">
        <v>59</v>
      </c>
      <c r="D38" s="2" t="s">
        <v>64</v>
      </c>
      <c r="E38" s="2" t="s">
        <v>44</v>
      </c>
      <c r="F38" s="2" t="s">
        <v>78</v>
      </c>
      <c r="G38" s="2" t="s">
        <v>31</v>
      </c>
      <c r="H38" s="2">
        <v>48</v>
      </c>
      <c r="I38" s="4">
        <v>317.56</v>
      </c>
      <c r="J38" s="2">
        <v>0</v>
      </c>
      <c r="K38" s="2">
        <v>18</v>
      </c>
      <c r="L38" s="2" t="s">
        <v>32</v>
      </c>
      <c r="M38" s="4">
        <f t="shared" si="0"/>
        <v>15242.880000000001</v>
      </c>
      <c r="N38" s="4">
        <f t="shared" si="1"/>
        <v>0</v>
      </c>
      <c r="O38" s="4">
        <f t="shared" si="2"/>
        <v>2743.7184000000002</v>
      </c>
      <c r="P38" s="4">
        <f t="shared" si="3"/>
        <v>17986.598400000003</v>
      </c>
    </row>
    <row r="39" spans="1:16" x14ac:dyDescent="0.25">
      <c r="A39" s="5" t="s">
        <v>99</v>
      </c>
      <c r="B39" s="6">
        <v>45428</v>
      </c>
      <c r="C39" s="5" t="s">
        <v>59</v>
      </c>
      <c r="D39" s="5" t="s">
        <v>34</v>
      </c>
      <c r="E39" s="5" t="s">
        <v>44</v>
      </c>
      <c r="F39" s="5" t="s">
        <v>91</v>
      </c>
      <c r="G39" s="5" t="s">
        <v>55</v>
      </c>
      <c r="H39" s="5">
        <v>43</v>
      </c>
      <c r="I39" s="7">
        <v>1729.49</v>
      </c>
      <c r="J39" s="5">
        <v>0</v>
      </c>
      <c r="K39" s="5">
        <v>18</v>
      </c>
      <c r="L39" s="5" t="s">
        <v>49</v>
      </c>
      <c r="M39" s="7">
        <f t="shared" si="0"/>
        <v>74368.070000000007</v>
      </c>
      <c r="N39" s="7">
        <f t="shared" si="1"/>
        <v>0</v>
      </c>
      <c r="O39" s="7">
        <f t="shared" si="2"/>
        <v>13386.252600000002</v>
      </c>
      <c r="P39" s="7">
        <f t="shared" si="3"/>
        <v>87754.322600000014</v>
      </c>
    </row>
    <row r="40" spans="1:16" x14ac:dyDescent="0.25">
      <c r="A40" s="2" t="s">
        <v>100</v>
      </c>
      <c r="B40" s="3">
        <v>45471</v>
      </c>
      <c r="C40" s="2" t="s">
        <v>24</v>
      </c>
      <c r="D40" s="2" t="s">
        <v>25</v>
      </c>
      <c r="E40" s="2" t="s">
        <v>44</v>
      </c>
      <c r="F40" s="2" t="s">
        <v>45</v>
      </c>
      <c r="G40" s="2" t="s">
        <v>31</v>
      </c>
      <c r="H40" s="2">
        <v>13</v>
      </c>
      <c r="I40" s="4">
        <v>1635.01</v>
      </c>
      <c r="J40" s="2">
        <v>10</v>
      </c>
      <c r="K40" s="2">
        <v>18</v>
      </c>
      <c r="L40" s="2" t="s">
        <v>22</v>
      </c>
      <c r="M40" s="4">
        <f t="shared" si="0"/>
        <v>21255.13</v>
      </c>
      <c r="N40" s="4">
        <f t="shared" si="1"/>
        <v>2125.5130000000004</v>
      </c>
      <c r="O40" s="4">
        <f t="shared" si="2"/>
        <v>3443.3310600000004</v>
      </c>
      <c r="P40" s="4">
        <f t="shared" si="3"/>
        <v>22572.948060000002</v>
      </c>
    </row>
    <row r="41" spans="1:16" x14ac:dyDescent="0.25">
      <c r="A41" s="5" t="s">
        <v>101</v>
      </c>
      <c r="B41" s="6">
        <v>45434</v>
      </c>
      <c r="C41" s="5" t="s">
        <v>47</v>
      </c>
      <c r="D41" s="5" t="s">
        <v>25</v>
      </c>
      <c r="E41" s="5" t="s">
        <v>38</v>
      </c>
      <c r="F41" s="5" t="s">
        <v>96</v>
      </c>
      <c r="G41" s="5" t="s">
        <v>21</v>
      </c>
      <c r="H41" s="5">
        <v>22</v>
      </c>
      <c r="I41" s="7">
        <v>564.41999999999996</v>
      </c>
      <c r="J41" s="5">
        <v>0</v>
      </c>
      <c r="K41" s="5">
        <v>18</v>
      </c>
      <c r="L41" s="5" t="s">
        <v>49</v>
      </c>
      <c r="M41" s="7">
        <f t="shared" si="0"/>
        <v>12417.24</v>
      </c>
      <c r="N41" s="7">
        <f t="shared" si="1"/>
        <v>0</v>
      </c>
      <c r="O41" s="7">
        <f t="shared" si="2"/>
        <v>2235.1032</v>
      </c>
      <c r="P41" s="7">
        <f t="shared" si="3"/>
        <v>14652.343199999999</v>
      </c>
    </row>
    <row r="42" spans="1:16" x14ac:dyDescent="0.25">
      <c r="A42" s="2" t="s">
        <v>102</v>
      </c>
      <c r="B42" s="3">
        <v>45311</v>
      </c>
      <c r="C42" s="2" t="s">
        <v>24</v>
      </c>
      <c r="D42" s="2" t="s">
        <v>64</v>
      </c>
      <c r="E42" s="2" t="s">
        <v>38</v>
      </c>
      <c r="F42" s="2" t="s">
        <v>39</v>
      </c>
      <c r="G42" s="2" t="s">
        <v>27</v>
      </c>
      <c r="H42" s="2">
        <v>17</v>
      </c>
      <c r="I42" s="4">
        <v>365.35</v>
      </c>
      <c r="J42" s="2">
        <v>5</v>
      </c>
      <c r="K42" s="2">
        <v>18</v>
      </c>
      <c r="L42" s="2" t="s">
        <v>22</v>
      </c>
      <c r="M42" s="4">
        <f t="shared" si="0"/>
        <v>6210.9500000000007</v>
      </c>
      <c r="N42" s="4">
        <f t="shared" si="1"/>
        <v>310.54750000000001</v>
      </c>
      <c r="O42" s="4">
        <f t="shared" si="2"/>
        <v>1062.0724500000003</v>
      </c>
      <c r="P42" s="4">
        <f t="shared" si="3"/>
        <v>6962.4749500000016</v>
      </c>
    </row>
    <row r="43" spans="1:16" x14ac:dyDescent="0.25">
      <c r="A43" s="5" t="s">
        <v>103</v>
      </c>
      <c r="B43" s="6">
        <v>45489</v>
      </c>
      <c r="C43" s="5" t="s">
        <v>24</v>
      </c>
      <c r="D43" s="5" t="s">
        <v>64</v>
      </c>
      <c r="E43" s="5" t="s">
        <v>19</v>
      </c>
      <c r="F43" s="5" t="s">
        <v>26</v>
      </c>
      <c r="G43" s="5" t="s">
        <v>55</v>
      </c>
      <c r="H43" s="5">
        <v>39</v>
      </c>
      <c r="I43" s="7">
        <v>1968.63</v>
      </c>
      <c r="J43" s="5">
        <v>0</v>
      </c>
      <c r="K43" s="5">
        <v>18</v>
      </c>
      <c r="L43" s="5" t="s">
        <v>49</v>
      </c>
      <c r="M43" s="7">
        <f t="shared" si="0"/>
        <v>76776.570000000007</v>
      </c>
      <c r="N43" s="7">
        <f t="shared" si="1"/>
        <v>0</v>
      </c>
      <c r="O43" s="7">
        <f t="shared" si="2"/>
        <v>13819.782600000002</v>
      </c>
      <c r="P43" s="7">
        <f t="shared" si="3"/>
        <v>90596.352600000013</v>
      </c>
    </row>
    <row r="44" spans="1:16" x14ac:dyDescent="0.25">
      <c r="A44" s="2" t="s">
        <v>104</v>
      </c>
      <c r="B44" s="3">
        <v>45643</v>
      </c>
      <c r="C44" s="2" t="s">
        <v>17</v>
      </c>
      <c r="D44" s="2" t="s">
        <v>25</v>
      </c>
      <c r="E44" s="2" t="s">
        <v>29</v>
      </c>
      <c r="F44" s="2" t="s">
        <v>30</v>
      </c>
      <c r="G44" s="2" t="s">
        <v>31</v>
      </c>
      <c r="H44" s="2">
        <v>34</v>
      </c>
      <c r="I44" s="4">
        <v>1851.89</v>
      </c>
      <c r="J44" s="2">
        <v>15</v>
      </c>
      <c r="K44" s="2">
        <v>18</v>
      </c>
      <c r="L44" s="2" t="s">
        <v>22</v>
      </c>
      <c r="M44" s="4">
        <f t="shared" si="0"/>
        <v>62964.26</v>
      </c>
      <c r="N44" s="4">
        <f t="shared" si="1"/>
        <v>9444.639000000001</v>
      </c>
      <c r="O44" s="4">
        <f t="shared" si="2"/>
        <v>9633.5317799999993</v>
      </c>
      <c r="P44" s="4">
        <f t="shared" si="3"/>
        <v>63153.152779999997</v>
      </c>
    </row>
    <row r="45" spans="1:16" x14ac:dyDescent="0.25">
      <c r="A45" s="5" t="s">
        <v>105</v>
      </c>
      <c r="B45" s="6">
        <v>45445</v>
      </c>
      <c r="C45" s="5" t="s">
        <v>24</v>
      </c>
      <c r="D45" s="5" t="s">
        <v>60</v>
      </c>
      <c r="E45" s="5" t="s">
        <v>44</v>
      </c>
      <c r="F45" s="5" t="s">
        <v>93</v>
      </c>
      <c r="G45" s="5" t="s">
        <v>55</v>
      </c>
      <c r="H45" s="5">
        <v>21</v>
      </c>
      <c r="I45" s="7">
        <v>1330.14</v>
      </c>
      <c r="J45" s="5">
        <v>0</v>
      </c>
      <c r="K45" s="5">
        <v>18</v>
      </c>
      <c r="L45" s="5" t="s">
        <v>32</v>
      </c>
      <c r="M45" s="7">
        <f t="shared" si="0"/>
        <v>27932.940000000002</v>
      </c>
      <c r="N45" s="7">
        <f t="shared" si="1"/>
        <v>0</v>
      </c>
      <c r="O45" s="7">
        <f t="shared" si="2"/>
        <v>5027.9292000000005</v>
      </c>
      <c r="P45" s="7">
        <f t="shared" si="3"/>
        <v>32960.869200000001</v>
      </c>
    </row>
    <row r="46" spans="1:16" x14ac:dyDescent="0.25">
      <c r="A46" s="2" t="s">
        <v>106</v>
      </c>
      <c r="B46" s="3">
        <v>45632</v>
      </c>
      <c r="C46" s="2" t="s">
        <v>24</v>
      </c>
      <c r="D46" s="2" t="s">
        <v>64</v>
      </c>
      <c r="E46" s="2" t="s">
        <v>29</v>
      </c>
      <c r="F46" s="2" t="s">
        <v>41</v>
      </c>
      <c r="G46" s="2" t="s">
        <v>31</v>
      </c>
      <c r="H46" s="2">
        <v>36</v>
      </c>
      <c r="I46" s="4">
        <v>263.3</v>
      </c>
      <c r="J46" s="2">
        <v>10</v>
      </c>
      <c r="K46" s="2">
        <v>18</v>
      </c>
      <c r="L46" s="2" t="s">
        <v>22</v>
      </c>
      <c r="M46" s="4">
        <f t="shared" si="0"/>
        <v>9478.8000000000011</v>
      </c>
      <c r="N46" s="4">
        <f t="shared" si="1"/>
        <v>947.88000000000011</v>
      </c>
      <c r="O46" s="4">
        <f t="shared" si="2"/>
        <v>1535.5656000000004</v>
      </c>
      <c r="P46" s="4">
        <f t="shared" si="3"/>
        <v>10066.485600000002</v>
      </c>
    </row>
    <row r="47" spans="1:16" x14ac:dyDescent="0.25">
      <c r="A47" s="5" t="s">
        <v>107</v>
      </c>
      <c r="B47" s="6">
        <v>45602</v>
      </c>
      <c r="C47" s="5" t="s">
        <v>17</v>
      </c>
      <c r="D47" s="5" t="s">
        <v>54</v>
      </c>
      <c r="E47" s="5" t="s">
        <v>35</v>
      </c>
      <c r="F47" s="5" t="s">
        <v>88</v>
      </c>
      <c r="G47" s="5" t="s">
        <v>27</v>
      </c>
      <c r="H47" s="5">
        <v>19</v>
      </c>
      <c r="I47" s="7">
        <v>428.26</v>
      </c>
      <c r="J47" s="5">
        <v>15</v>
      </c>
      <c r="K47" s="5">
        <v>18</v>
      </c>
      <c r="L47" s="5" t="s">
        <v>22</v>
      </c>
      <c r="M47" s="7">
        <f t="shared" si="0"/>
        <v>8136.94</v>
      </c>
      <c r="N47" s="7">
        <f t="shared" si="1"/>
        <v>1220.5409999999999</v>
      </c>
      <c r="O47" s="7">
        <f t="shared" si="2"/>
        <v>1244.9518199999998</v>
      </c>
      <c r="P47" s="7">
        <f t="shared" si="3"/>
        <v>8161.3508199999997</v>
      </c>
    </row>
    <row r="48" spans="1:16" x14ac:dyDescent="0.25">
      <c r="A48" s="2" t="s">
        <v>108</v>
      </c>
      <c r="B48" s="3">
        <v>45378</v>
      </c>
      <c r="C48" s="2" t="s">
        <v>24</v>
      </c>
      <c r="D48" s="2" t="s">
        <v>52</v>
      </c>
      <c r="E48" s="2" t="s">
        <v>38</v>
      </c>
      <c r="F48" s="2" t="s">
        <v>70</v>
      </c>
      <c r="G48" s="2" t="s">
        <v>21</v>
      </c>
      <c r="H48" s="2">
        <v>31</v>
      </c>
      <c r="I48" s="4">
        <v>1589.53</v>
      </c>
      <c r="J48" s="2">
        <v>20</v>
      </c>
      <c r="K48" s="2">
        <v>18</v>
      </c>
      <c r="L48" s="2" t="s">
        <v>32</v>
      </c>
      <c r="M48" s="4">
        <f t="shared" si="0"/>
        <v>49275.43</v>
      </c>
      <c r="N48" s="4">
        <f t="shared" si="1"/>
        <v>9855.0859999999993</v>
      </c>
      <c r="O48" s="4">
        <f t="shared" si="2"/>
        <v>7095.6619199999996</v>
      </c>
      <c r="P48" s="4">
        <f t="shared" si="3"/>
        <v>46516.005919999996</v>
      </c>
    </row>
    <row r="49" spans="1:16" x14ac:dyDescent="0.25">
      <c r="A49" s="5" t="s">
        <v>109</v>
      </c>
      <c r="B49" s="6">
        <v>45304</v>
      </c>
      <c r="C49" s="5" t="s">
        <v>17</v>
      </c>
      <c r="D49" s="5" t="s">
        <v>60</v>
      </c>
      <c r="E49" s="5" t="s">
        <v>19</v>
      </c>
      <c r="F49" s="5" t="s">
        <v>62</v>
      </c>
      <c r="G49" s="5" t="s">
        <v>21</v>
      </c>
      <c r="H49" s="5">
        <v>15</v>
      </c>
      <c r="I49" s="7">
        <v>1615.06</v>
      </c>
      <c r="J49" s="5">
        <v>0</v>
      </c>
      <c r="K49" s="5">
        <v>18</v>
      </c>
      <c r="L49" s="5" t="s">
        <v>22</v>
      </c>
      <c r="M49" s="7">
        <f t="shared" si="0"/>
        <v>24225.899999999998</v>
      </c>
      <c r="N49" s="7">
        <f t="shared" si="1"/>
        <v>0</v>
      </c>
      <c r="O49" s="7">
        <f t="shared" si="2"/>
        <v>4360.6619999999994</v>
      </c>
      <c r="P49" s="7">
        <f t="shared" si="3"/>
        <v>28586.561999999998</v>
      </c>
    </row>
    <row r="50" spans="1:16" x14ac:dyDescent="0.25">
      <c r="A50" s="2" t="s">
        <v>110</v>
      </c>
      <c r="B50" s="3">
        <v>45648</v>
      </c>
      <c r="C50" s="2" t="s">
        <v>24</v>
      </c>
      <c r="D50" s="2" t="s">
        <v>60</v>
      </c>
      <c r="E50" s="2" t="s">
        <v>19</v>
      </c>
      <c r="F50" s="2" t="s">
        <v>57</v>
      </c>
      <c r="G50" s="2" t="s">
        <v>31</v>
      </c>
      <c r="H50" s="2">
        <v>41</v>
      </c>
      <c r="I50" s="4">
        <v>1155.5899999999999</v>
      </c>
      <c r="J50" s="2">
        <v>20</v>
      </c>
      <c r="K50" s="2">
        <v>18</v>
      </c>
      <c r="L50" s="2" t="s">
        <v>49</v>
      </c>
      <c r="M50" s="4">
        <f t="shared" si="0"/>
        <v>47379.189999999995</v>
      </c>
      <c r="N50" s="4">
        <f t="shared" si="1"/>
        <v>9475.8379999999997</v>
      </c>
      <c r="O50" s="4">
        <f t="shared" si="2"/>
        <v>6822.6033600000001</v>
      </c>
      <c r="P50" s="4">
        <f t="shared" si="3"/>
        <v>44725.95536</v>
      </c>
    </row>
    <row r="51" spans="1:16" x14ac:dyDescent="0.25">
      <c r="A51" s="5" t="s">
        <v>111</v>
      </c>
      <c r="B51" s="6">
        <v>45509</v>
      </c>
      <c r="C51" s="5" t="s">
        <v>24</v>
      </c>
      <c r="D51" s="5" t="s">
        <v>18</v>
      </c>
      <c r="E51" s="5" t="s">
        <v>35</v>
      </c>
      <c r="F51" s="5" t="s">
        <v>76</v>
      </c>
      <c r="G51" s="5" t="s">
        <v>21</v>
      </c>
      <c r="H51" s="5">
        <v>49</v>
      </c>
      <c r="I51" s="7">
        <v>1722.28</v>
      </c>
      <c r="J51" s="5">
        <v>0</v>
      </c>
      <c r="K51" s="5">
        <v>18</v>
      </c>
      <c r="L51" s="5" t="s">
        <v>22</v>
      </c>
      <c r="M51" s="7">
        <f t="shared" si="0"/>
        <v>84391.72</v>
      </c>
      <c r="N51" s="7">
        <f t="shared" si="1"/>
        <v>0</v>
      </c>
      <c r="O51" s="7">
        <f t="shared" si="2"/>
        <v>15190.509599999999</v>
      </c>
      <c r="P51" s="7">
        <f t="shared" si="3"/>
        <v>99582.229600000006</v>
      </c>
    </row>
    <row r="52" spans="1:16" x14ac:dyDescent="0.25">
      <c r="A52" s="2" t="s">
        <v>112</v>
      </c>
      <c r="B52" s="3">
        <v>45633</v>
      </c>
      <c r="C52" s="2" t="s">
        <v>24</v>
      </c>
      <c r="D52" s="2" t="s">
        <v>25</v>
      </c>
      <c r="E52" s="2" t="s">
        <v>44</v>
      </c>
      <c r="F52" s="2" t="s">
        <v>78</v>
      </c>
      <c r="G52" s="2" t="s">
        <v>21</v>
      </c>
      <c r="H52" s="2">
        <v>30</v>
      </c>
      <c r="I52" s="4">
        <v>275.33999999999997</v>
      </c>
      <c r="J52" s="2">
        <v>10</v>
      </c>
      <c r="K52" s="2">
        <v>18</v>
      </c>
      <c r="L52" s="2" t="s">
        <v>22</v>
      </c>
      <c r="M52" s="4">
        <f t="shared" si="0"/>
        <v>8260.1999999999989</v>
      </c>
      <c r="N52" s="4">
        <f t="shared" si="1"/>
        <v>826.01999999999987</v>
      </c>
      <c r="O52" s="4">
        <f t="shared" si="2"/>
        <v>1338.1523999999999</v>
      </c>
      <c r="P52" s="4">
        <f t="shared" si="3"/>
        <v>8772.3323999999993</v>
      </c>
    </row>
    <row r="53" spans="1:16" x14ac:dyDescent="0.25">
      <c r="A53" s="5" t="s">
        <v>113</v>
      </c>
      <c r="B53" s="6">
        <v>45535</v>
      </c>
      <c r="C53" s="5" t="s">
        <v>17</v>
      </c>
      <c r="D53" s="5" t="s">
        <v>52</v>
      </c>
      <c r="E53" s="5" t="s">
        <v>29</v>
      </c>
      <c r="F53" s="5" t="s">
        <v>65</v>
      </c>
      <c r="G53" s="5" t="s">
        <v>31</v>
      </c>
      <c r="H53" s="5">
        <v>29</v>
      </c>
      <c r="I53" s="7">
        <v>1795.44</v>
      </c>
      <c r="J53" s="5">
        <v>20</v>
      </c>
      <c r="K53" s="5">
        <v>18</v>
      </c>
      <c r="L53" s="5" t="s">
        <v>32</v>
      </c>
      <c r="M53" s="7">
        <f t="shared" si="0"/>
        <v>52067.76</v>
      </c>
      <c r="N53" s="7">
        <f t="shared" si="1"/>
        <v>10413.552000000001</v>
      </c>
      <c r="O53" s="7">
        <f t="shared" si="2"/>
        <v>7497.7574399999994</v>
      </c>
      <c r="P53" s="7">
        <f t="shared" si="3"/>
        <v>49151.96544</v>
      </c>
    </row>
    <row r="54" spans="1:16" x14ac:dyDescent="0.25">
      <c r="A54" s="2" t="s">
        <v>114</v>
      </c>
      <c r="B54" s="3">
        <v>45438</v>
      </c>
      <c r="C54" s="2" t="s">
        <v>47</v>
      </c>
      <c r="D54" s="2" t="s">
        <v>43</v>
      </c>
      <c r="E54" s="2" t="s">
        <v>35</v>
      </c>
      <c r="F54" s="2" t="s">
        <v>36</v>
      </c>
      <c r="G54" s="2" t="s">
        <v>31</v>
      </c>
      <c r="H54" s="2">
        <v>18</v>
      </c>
      <c r="I54" s="4">
        <v>885.35</v>
      </c>
      <c r="J54" s="2">
        <v>20</v>
      </c>
      <c r="K54" s="2">
        <v>18</v>
      </c>
      <c r="L54" s="2" t="s">
        <v>22</v>
      </c>
      <c r="M54" s="4">
        <f t="shared" si="0"/>
        <v>15936.300000000001</v>
      </c>
      <c r="N54" s="4">
        <f t="shared" si="1"/>
        <v>3187.26</v>
      </c>
      <c r="O54" s="4">
        <f t="shared" si="2"/>
        <v>2294.8272000000002</v>
      </c>
      <c r="P54" s="4">
        <f t="shared" si="3"/>
        <v>15043.867200000001</v>
      </c>
    </row>
    <row r="55" spans="1:16" x14ac:dyDescent="0.25">
      <c r="A55" s="5" t="s">
        <v>115</v>
      </c>
      <c r="B55" s="6">
        <v>45370</v>
      </c>
      <c r="C55" s="5" t="s">
        <v>17</v>
      </c>
      <c r="D55" s="5" t="s">
        <v>64</v>
      </c>
      <c r="E55" s="5" t="s">
        <v>44</v>
      </c>
      <c r="F55" s="5" t="s">
        <v>93</v>
      </c>
      <c r="G55" s="5" t="s">
        <v>27</v>
      </c>
      <c r="H55" s="5">
        <v>10</v>
      </c>
      <c r="I55" s="7">
        <v>470.21</v>
      </c>
      <c r="J55" s="5">
        <v>20</v>
      </c>
      <c r="K55" s="5">
        <v>18</v>
      </c>
      <c r="L55" s="5" t="s">
        <v>22</v>
      </c>
      <c r="M55" s="7">
        <f t="shared" si="0"/>
        <v>4702.0999999999995</v>
      </c>
      <c r="N55" s="7">
        <f t="shared" si="1"/>
        <v>940.41999999999985</v>
      </c>
      <c r="O55" s="7">
        <f t="shared" si="2"/>
        <v>677.10239999999988</v>
      </c>
      <c r="P55" s="7">
        <f t="shared" si="3"/>
        <v>4438.7823999999991</v>
      </c>
    </row>
    <row r="56" spans="1:16" x14ac:dyDescent="0.25">
      <c r="A56" s="2" t="s">
        <v>116</v>
      </c>
      <c r="B56" s="3">
        <v>45507</v>
      </c>
      <c r="C56" s="2" t="s">
        <v>24</v>
      </c>
      <c r="D56" s="2" t="s">
        <v>54</v>
      </c>
      <c r="E56" s="2" t="s">
        <v>44</v>
      </c>
      <c r="F56" s="2" t="s">
        <v>45</v>
      </c>
      <c r="G56" s="2" t="s">
        <v>55</v>
      </c>
      <c r="H56" s="2">
        <v>30</v>
      </c>
      <c r="I56" s="4">
        <v>837.39</v>
      </c>
      <c r="J56" s="2">
        <v>0</v>
      </c>
      <c r="K56" s="2">
        <v>18</v>
      </c>
      <c r="L56" s="2" t="s">
        <v>32</v>
      </c>
      <c r="M56" s="4">
        <f t="shared" si="0"/>
        <v>25121.7</v>
      </c>
      <c r="N56" s="4">
        <f t="shared" si="1"/>
        <v>0</v>
      </c>
      <c r="O56" s="4">
        <f t="shared" si="2"/>
        <v>4521.9059999999999</v>
      </c>
      <c r="P56" s="4">
        <f t="shared" si="3"/>
        <v>29643.606</v>
      </c>
    </row>
    <row r="57" spans="1:16" x14ac:dyDescent="0.25">
      <c r="A57" s="5" t="s">
        <v>117</v>
      </c>
      <c r="B57" s="6">
        <v>45506</v>
      </c>
      <c r="C57" s="5" t="s">
        <v>59</v>
      </c>
      <c r="D57" s="5" t="s">
        <v>54</v>
      </c>
      <c r="E57" s="5" t="s">
        <v>35</v>
      </c>
      <c r="F57" s="5" t="s">
        <v>68</v>
      </c>
      <c r="G57" s="5" t="s">
        <v>31</v>
      </c>
      <c r="H57" s="5">
        <v>23</v>
      </c>
      <c r="I57" s="7">
        <v>604.24</v>
      </c>
      <c r="J57" s="5">
        <v>10</v>
      </c>
      <c r="K57" s="5">
        <v>18</v>
      </c>
      <c r="L57" s="5" t="s">
        <v>22</v>
      </c>
      <c r="M57" s="7">
        <f t="shared" si="0"/>
        <v>13897.52</v>
      </c>
      <c r="N57" s="7">
        <f t="shared" si="1"/>
        <v>1389.7520000000002</v>
      </c>
      <c r="O57" s="7">
        <f t="shared" si="2"/>
        <v>2251.39824</v>
      </c>
      <c r="P57" s="7">
        <f t="shared" si="3"/>
        <v>14759.16624</v>
      </c>
    </row>
    <row r="58" spans="1:16" x14ac:dyDescent="0.25">
      <c r="A58" s="2" t="s">
        <v>118</v>
      </c>
      <c r="B58" s="3">
        <v>45464</v>
      </c>
      <c r="C58" s="2" t="s">
        <v>47</v>
      </c>
      <c r="D58" s="2" t="s">
        <v>52</v>
      </c>
      <c r="E58" s="2" t="s">
        <v>29</v>
      </c>
      <c r="F58" s="2" t="s">
        <v>65</v>
      </c>
      <c r="G58" s="2" t="s">
        <v>21</v>
      </c>
      <c r="H58" s="2">
        <v>28</v>
      </c>
      <c r="I58" s="4">
        <v>976.43</v>
      </c>
      <c r="J58" s="2">
        <v>10</v>
      </c>
      <c r="K58" s="2">
        <v>18</v>
      </c>
      <c r="L58" s="2" t="s">
        <v>22</v>
      </c>
      <c r="M58" s="4">
        <f t="shared" si="0"/>
        <v>27340.039999999997</v>
      </c>
      <c r="N58" s="4">
        <f t="shared" si="1"/>
        <v>2734.0039999999995</v>
      </c>
      <c r="O58" s="4">
        <f t="shared" si="2"/>
        <v>4429.086479999999</v>
      </c>
      <c r="P58" s="4">
        <f t="shared" si="3"/>
        <v>29035.122479999995</v>
      </c>
    </row>
    <row r="59" spans="1:16" x14ac:dyDescent="0.25">
      <c r="A59" s="5" t="s">
        <v>119</v>
      </c>
      <c r="B59" s="6">
        <v>45334</v>
      </c>
      <c r="C59" s="5" t="s">
        <v>24</v>
      </c>
      <c r="D59" s="5" t="s">
        <v>34</v>
      </c>
      <c r="E59" s="5" t="s">
        <v>35</v>
      </c>
      <c r="F59" s="5" t="s">
        <v>88</v>
      </c>
      <c r="G59" s="5" t="s">
        <v>27</v>
      </c>
      <c r="H59" s="5">
        <v>38</v>
      </c>
      <c r="I59" s="7">
        <v>1133.1400000000001</v>
      </c>
      <c r="J59" s="5">
        <v>0</v>
      </c>
      <c r="K59" s="5">
        <v>18</v>
      </c>
      <c r="L59" s="5" t="s">
        <v>49</v>
      </c>
      <c r="M59" s="7">
        <f t="shared" si="0"/>
        <v>43059.320000000007</v>
      </c>
      <c r="N59" s="7">
        <f t="shared" si="1"/>
        <v>0</v>
      </c>
      <c r="O59" s="7">
        <f t="shared" si="2"/>
        <v>7750.6776000000009</v>
      </c>
      <c r="P59" s="7">
        <f t="shared" si="3"/>
        <v>50809.99760000001</v>
      </c>
    </row>
    <row r="60" spans="1:16" x14ac:dyDescent="0.25">
      <c r="A60" s="2" t="s">
        <v>120</v>
      </c>
      <c r="B60" s="3">
        <v>45459</v>
      </c>
      <c r="C60" s="2" t="s">
        <v>24</v>
      </c>
      <c r="D60" s="2" t="s">
        <v>34</v>
      </c>
      <c r="E60" s="2" t="s">
        <v>35</v>
      </c>
      <c r="F60" s="2" t="s">
        <v>88</v>
      </c>
      <c r="G60" s="2" t="s">
        <v>27</v>
      </c>
      <c r="H60" s="2">
        <v>25</v>
      </c>
      <c r="I60" s="4">
        <v>661.43</v>
      </c>
      <c r="J60" s="2">
        <v>10</v>
      </c>
      <c r="K60" s="2">
        <v>18</v>
      </c>
      <c r="L60" s="2" t="s">
        <v>22</v>
      </c>
      <c r="M60" s="4">
        <f t="shared" si="0"/>
        <v>16535.75</v>
      </c>
      <c r="N60" s="4">
        <f t="shared" si="1"/>
        <v>1653.575</v>
      </c>
      <c r="O60" s="4">
        <f t="shared" si="2"/>
        <v>2678.7914999999998</v>
      </c>
      <c r="P60" s="4">
        <f t="shared" si="3"/>
        <v>17560.966499999999</v>
      </c>
    </row>
    <row r="61" spans="1:16" x14ac:dyDescent="0.25">
      <c r="A61" s="5" t="s">
        <v>121</v>
      </c>
      <c r="B61" s="6">
        <v>45318</v>
      </c>
      <c r="C61" s="5" t="s">
        <v>17</v>
      </c>
      <c r="D61" s="5" t="s">
        <v>54</v>
      </c>
      <c r="E61" s="5" t="s">
        <v>38</v>
      </c>
      <c r="F61" s="5" t="s">
        <v>70</v>
      </c>
      <c r="G61" s="5" t="s">
        <v>55</v>
      </c>
      <c r="H61" s="5">
        <v>31</v>
      </c>
      <c r="I61" s="7">
        <v>48.57</v>
      </c>
      <c r="J61" s="5">
        <v>15</v>
      </c>
      <c r="K61" s="5">
        <v>18</v>
      </c>
      <c r="L61" s="5" t="s">
        <v>22</v>
      </c>
      <c r="M61" s="7">
        <f t="shared" si="0"/>
        <v>1505.67</v>
      </c>
      <c r="N61" s="7">
        <f t="shared" si="1"/>
        <v>225.85050000000004</v>
      </c>
      <c r="O61" s="7">
        <f t="shared" si="2"/>
        <v>230.36751000000001</v>
      </c>
      <c r="P61" s="7">
        <f t="shared" si="3"/>
        <v>1510.1870100000001</v>
      </c>
    </row>
    <row r="62" spans="1:16" x14ac:dyDescent="0.25">
      <c r="A62" s="2" t="s">
        <v>122</v>
      </c>
      <c r="B62" s="3">
        <v>45370</v>
      </c>
      <c r="C62" s="2" t="s">
        <v>59</v>
      </c>
      <c r="D62" s="2" t="s">
        <v>25</v>
      </c>
      <c r="E62" s="2" t="s">
        <v>38</v>
      </c>
      <c r="F62" s="2" t="s">
        <v>96</v>
      </c>
      <c r="G62" s="2" t="s">
        <v>27</v>
      </c>
      <c r="H62" s="2">
        <v>13</v>
      </c>
      <c r="I62" s="4">
        <v>1680.07</v>
      </c>
      <c r="J62" s="2">
        <v>15</v>
      </c>
      <c r="K62" s="2">
        <v>18</v>
      </c>
      <c r="L62" s="2" t="s">
        <v>22</v>
      </c>
      <c r="M62" s="4">
        <f t="shared" si="0"/>
        <v>21840.91</v>
      </c>
      <c r="N62" s="4">
        <f t="shared" si="1"/>
        <v>3276.1365000000001</v>
      </c>
      <c r="O62" s="4">
        <f t="shared" si="2"/>
        <v>3341.6592300000002</v>
      </c>
      <c r="P62" s="4">
        <f t="shared" si="3"/>
        <v>21906.43273</v>
      </c>
    </row>
    <row r="63" spans="1:16" x14ac:dyDescent="0.25">
      <c r="A63" s="5" t="s">
        <v>123</v>
      </c>
      <c r="B63" s="6">
        <v>45377</v>
      </c>
      <c r="C63" s="5" t="s">
        <v>24</v>
      </c>
      <c r="D63" s="5" t="s">
        <v>60</v>
      </c>
      <c r="E63" s="5" t="s">
        <v>44</v>
      </c>
      <c r="F63" s="5" t="s">
        <v>78</v>
      </c>
      <c r="G63" s="5" t="s">
        <v>21</v>
      </c>
      <c r="H63" s="5">
        <v>45</v>
      </c>
      <c r="I63" s="7">
        <v>519.91999999999996</v>
      </c>
      <c r="J63" s="5">
        <v>5</v>
      </c>
      <c r="K63" s="5">
        <v>18</v>
      </c>
      <c r="L63" s="5" t="s">
        <v>49</v>
      </c>
      <c r="M63" s="7">
        <f t="shared" si="0"/>
        <v>23396.399999999998</v>
      </c>
      <c r="N63" s="7">
        <f t="shared" si="1"/>
        <v>1169.82</v>
      </c>
      <c r="O63" s="7">
        <f t="shared" si="2"/>
        <v>4000.7843999999996</v>
      </c>
      <c r="P63" s="7">
        <f t="shared" si="3"/>
        <v>26227.364399999999</v>
      </c>
    </row>
    <row r="64" spans="1:16" x14ac:dyDescent="0.25">
      <c r="A64" s="2" t="s">
        <v>124</v>
      </c>
      <c r="B64" s="3">
        <v>45586</v>
      </c>
      <c r="C64" s="2" t="s">
        <v>59</v>
      </c>
      <c r="D64" s="2" t="s">
        <v>34</v>
      </c>
      <c r="E64" s="2" t="s">
        <v>29</v>
      </c>
      <c r="F64" s="2" t="s">
        <v>65</v>
      </c>
      <c r="G64" s="2" t="s">
        <v>55</v>
      </c>
      <c r="H64" s="2">
        <v>38</v>
      </c>
      <c r="I64" s="4">
        <v>61.1</v>
      </c>
      <c r="J64" s="2">
        <v>5</v>
      </c>
      <c r="K64" s="2">
        <v>18</v>
      </c>
      <c r="L64" s="2" t="s">
        <v>22</v>
      </c>
      <c r="M64" s="4">
        <f t="shared" si="0"/>
        <v>2321.8000000000002</v>
      </c>
      <c r="N64" s="4">
        <f t="shared" si="1"/>
        <v>116.09</v>
      </c>
      <c r="O64" s="4">
        <f t="shared" si="2"/>
        <v>397.02780000000001</v>
      </c>
      <c r="P64" s="4">
        <f t="shared" si="3"/>
        <v>2602.7377999999999</v>
      </c>
    </row>
    <row r="65" spans="1:16" x14ac:dyDescent="0.25">
      <c r="A65" s="5" t="s">
        <v>125</v>
      </c>
      <c r="B65" s="6">
        <v>45599</v>
      </c>
      <c r="C65" s="5" t="s">
        <v>47</v>
      </c>
      <c r="D65" s="5" t="s">
        <v>60</v>
      </c>
      <c r="E65" s="5" t="s">
        <v>35</v>
      </c>
      <c r="F65" s="5" t="s">
        <v>76</v>
      </c>
      <c r="G65" s="5" t="s">
        <v>21</v>
      </c>
      <c r="H65" s="5">
        <v>45</v>
      </c>
      <c r="I65" s="7">
        <v>1547.24</v>
      </c>
      <c r="J65" s="5">
        <v>20</v>
      </c>
      <c r="K65" s="5">
        <v>18</v>
      </c>
      <c r="L65" s="5" t="s">
        <v>22</v>
      </c>
      <c r="M65" s="7">
        <f t="shared" si="0"/>
        <v>69625.8</v>
      </c>
      <c r="N65" s="7">
        <f t="shared" si="1"/>
        <v>13925.16</v>
      </c>
      <c r="O65" s="7">
        <f t="shared" si="2"/>
        <v>10026.1152</v>
      </c>
      <c r="P65" s="7">
        <f t="shared" si="3"/>
        <v>65726.7552</v>
      </c>
    </row>
    <row r="66" spans="1:16" x14ac:dyDescent="0.25">
      <c r="A66" s="2" t="s">
        <v>126</v>
      </c>
      <c r="B66" s="3">
        <v>45298</v>
      </c>
      <c r="C66" s="2" t="s">
        <v>59</v>
      </c>
      <c r="D66" s="2" t="s">
        <v>64</v>
      </c>
      <c r="E66" s="2" t="s">
        <v>19</v>
      </c>
      <c r="F66" s="2" t="s">
        <v>26</v>
      </c>
      <c r="G66" s="2" t="s">
        <v>31</v>
      </c>
      <c r="H66" s="2">
        <v>5</v>
      </c>
      <c r="I66" s="4">
        <v>1016.86</v>
      </c>
      <c r="J66" s="2">
        <v>5</v>
      </c>
      <c r="K66" s="2">
        <v>18</v>
      </c>
      <c r="L66" s="2" t="s">
        <v>22</v>
      </c>
      <c r="M66" s="4">
        <f t="shared" ref="M66:M129" si="4">H66*I66</f>
        <v>5084.3</v>
      </c>
      <c r="N66" s="4">
        <f t="shared" ref="N66:N129" si="5">M66*J66/100</f>
        <v>254.215</v>
      </c>
      <c r="O66" s="4">
        <f t="shared" ref="O66:O129" si="6">(M66-N66)*K66/100</f>
        <v>869.4153</v>
      </c>
      <c r="P66" s="4">
        <f t="shared" ref="P66:P129" si="7">M66-N66+O66</f>
        <v>5699.5002999999997</v>
      </c>
    </row>
    <row r="67" spans="1:16" x14ac:dyDescent="0.25">
      <c r="A67" s="5" t="s">
        <v>127</v>
      </c>
      <c r="B67" s="6">
        <v>45559</v>
      </c>
      <c r="C67" s="5" t="s">
        <v>59</v>
      </c>
      <c r="D67" s="5" t="s">
        <v>54</v>
      </c>
      <c r="E67" s="5" t="s">
        <v>35</v>
      </c>
      <c r="F67" s="5" t="s">
        <v>76</v>
      </c>
      <c r="G67" s="5" t="s">
        <v>55</v>
      </c>
      <c r="H67" s="5">
        <v>46</v>
      </c>
      <c r="I67" s="7">
        <v>314.45</v>
      </c>
      <c r="J67" s="5">
        <v>0</v>
      </c>
      <c r="K67" s="5">
        <v>18</v>
      </c>
      <c r="L67" s="5" t="s">
        <v>49</v>
      </c>
      <c r="M67" s="7">
        <f t="shared" si="4"/>
        <v>14464.699999999999</v>
      </c>
      <c r="N67" s="7">
        <f t="shared" si="5"/>
        <v>0</v>
      </c>
      <c r="O67" s="7">
        <f t="shared" si="6"/>
        <v>2603.6459999999997</v>
      </c>
      <c r="P67" s="7">
        <f t="shared" si="7"/>
        <v>17068.345999999998</v>
      </c>
    </row>
    <row r="68" spans="1:16" x14ac:dyDescent="0.25">
      <c r="A68" s="2" t="s">
        <v>128</v>
      </c>
      <c r="B68" s="3">
        <v>45336</v>
      </c>
      <c r="C68" s="2" t="s">
        <v>24</v>
      </c>
      <c r="D68" s="2" t="s">
        <v>52</v>
      </c>
      <c r="E68" s="2" t="s">
        <v>38</v>
      </c>
      <c r="F68" s="2" t="s">
        <v>39</v>
      </c>
      <c r="G68" s="2" t="s">
        <v>31</v>
      </c>
      <c r="H68" s="2">
        <v>18</v>
      </c>
      <c r="I68" s="4">
        <v>651.39</v>
      </c>
      <c r="J68" s="2">
        <v>0</v>
      </c>
      <c r="K68" s="2">
        <v>18</v>
      </c>
      <c r="L68" s="2" t="s">
        <v>32</v>
      </c>
      <c r="M68" s="4">
        <f t="shared" si="4"/>
        <v>11725.02</v>
      </c>
      <c r="N68" s="4">
        <f t="shared" si="5"/>
        <v>0</v>
      </c>
      <c r="O68" s="4">
        <f t="shared" si="6"/>
        <v>2110.5036</v>
      </c>
      <c r="P68" s="4">
        <f t="shared" si="7"/>
        <v>13835.5236</v>
      </c>
    </row>
    <row r="69" spans="1:16" x14ac:dyDescent="0.25">
      <c r="A69" s="5" t="s">
        <v>129</v>
      </c>
      <c r="B69" s="6">
        <v>45385</v>
      </c>
      <c r="C69" s="5" t="s">
        <v>47</v>
      </c>
      <c r="D69" s="5" t="s">
        <v>52</v>
      </c>
      <c r="E69" s="5" t="s">
        <v>38</v>
      </c>
      <c r="F69" s="5" t="s">
        <v>70</v>
      </c>
      <c r="G69" s="5" t="s">
        <v>31</v>
      </c>
      <c r="H69" s="5">
        <v>2</v>
      </c>
      <c r="I69" s="7">
        <v>993.67</v>
      </c>
      <c r="J69" s="5">
        <v>5</v>
      </c>
      <c r="K69" s="5">
        <v>18</v>
      </c>
      <c r="L69" s="5" t="s">
        <v>22</v>
      </c>
      <c r="M69" s="7">
        <f t="shared" si="4"/>
        <v>1987.34</v>
      </c>
      <c r="N69" s="7">
        <f t="shared" si="5"/>
        <v>99.36699999999999</v>
      </c>
      <c r="O69" s="7">
        <f t="shared" si="6"/>
        <v>339.83513999999997</v>
      </c>
      <c r="P69" s="7">
        <f t="shared" si="7"/>
        <v>2227.8081400000001</v>
      </c>
    </row>
    <row r="70" spans="1:16" x14ac:dyDescent="0.25">
      <c r="A70" s="2" t="s">
        <v>130</v>
      </c>
      <c r="B70" s="3">
        <v>45576</v>
      </c>
      <c r="C70" s="2" t="s">
        <v>17</v>
      </c>
      <c r="D70" s="2" t="s">
        <v>43</v>
      </c>
      <c r="E70" s="2" t="s">
        <v>35</v>
      </c>
      <c r="F70" s="2" t="s">
        <v>88</v>
      </c>
      <c r="G70" s="2" t="s">
        <v>55</v>
      </c>
      <c r="H70" s="2">
        <v>39</v>
      </c>
      <c r="I70" s="4">
        <v>1405.36</v>
      </c>
      <c r="J70" s="2">
        <v>5</v>
      </c>
      <c r="K70" s="2">
        <v>18</v>
      </c>
      <c r="L70" s="2" t="s">
        <v>22</v>
      </c>
      <c r="M70" s="4">
        <f t="shared" si="4"/>
        <v>54809.039999999994</v>
      </c>
      <c r="N70" s="4">
        <f t="shared" si="5"/>
        <v>2740.4519999999993</v>
      </c>
      <c r="O70" s="4">
        <f t="shared" si="6"/>
        <v>9372.34584</v>
      </c>
      <c r="P70" s="4">
        <f t="shared" si="7"/>
        <v>61440.933839999998</v>
      </c>
    </row>
    <row r="71" spans="1:16" x14ac:dyDescent="0.25">
      <c r="A71" s="5" t="s">
        <v>131</v>
      </c>
      <c r="B71" s="6">
        <v>45645</v>
      </c>
      <c r="C71" s="5" t="s">
        <v>47</v>
      </c>
      <c r="D71" s="5" t="s">
        <v>60</v>
      </c>
      <c r="E71" s="5" t="s">
        <v>19</v>
      </c>
      <c r="F71" s="5" t="s">
        <v>26</v>
      </c>
      <c r="G71" s="5" t="s">
        <v>21</v>
      </c>
      <c r="H71" s="5">
        <v>32</v>
      </c>
      <c r="I71" s="7">
        <v>1114.8</v>
      </c>
      <c r="J71" s="5">
        <v>0</v>
      </c>
      <c r="K71" s="5">
        <v>18</v>
      </c>
      <c r="L71" s="5" t="s">
        <v>49</v>
      </c>
      <c r="M71" s="7">
        <f t="shared" si="4"/>
        <v>35673.599999999999</v>
      </c>
      <c r="N71" s="7">
        <f t="shared" si="5"/>
        <v>0</v>
      </c>
      <c r="O71" s="7">
        <f t="shared" si="6"/>
        <v>6421.2479999999996</v>
      </c>
      <c r="P71" s="7">
        <f t="shared" si="7"/>
        <v>42094.847999999998</v>
      </c>
    </row>
    <row r="72" spans="1:16" x14ac:dyDescent="0.25">
      <c r="A72" s="2" t="s">
        <v>132</v>
      </c>
      <c r="B72" s="3">
        <v>45448</v>
      </c>
      <c r="C72" s="2" t="s">
        <v>24</v>
      </c>
      <c r="D72" s="2" t="s">
        <v>25</v>
      </c>
      <c r="E72" s="2" t="s">
        <v>35</v>
      </c>
      <c r="F72" s="2" t="s">
        <v>76</v>
      </c>
      <c r="G72" s="2" t="s">
        <v>27</v>
      </c>
      <c r="H72" s="2">
        <v>15</v>
      </c>
      <c r="I72" s="4">
        <v>814.76</v>
      </c>
      <c r="J72" s="2">
        <v>0</v>
      </c>
      <c r="K72" s="2">
        <v>18</v>
      </c>
      <c r="L72" s="2" t="s">
        <v>22</v>
      </c>
      <c r="M72" s="4">
        <f t="shared" si="4"/>
        <v>12221.4</v>
      </c>
      <c r="N72" s="4">
        <f t="shared" si="5"/>
        <v>0</v>
      </c>
      <c r="O72" s="4">
        <f t="shared" si="6"/>
        <v>2199.8519999999999</v>
      </c>
      <c r="P72" s="4">
        <f t="shared" si="7"/>
        <v>14421.252</v>
      </c>
    </row>
    <row r="73" spans="1:16" x14ac:dyDescent="0.25">
      <c r="A73" s="5" t="s">
        <v>133</v>
      </c>
      <c r="B73" s="6">
        <v>45430</v>
      </c>
      <c r="C73" s="5" t="s">
        <v>24</v>
      </c>
      <c r="D73" s="5" t="s">
        <v>64</v>
      </c>
      <c r="E73" s="5" t="s">
        <v>29</v>
      </c>
      <c r="F73" s="5" t="s">
        <v>41</v>
      </c>
      <c r="G73" s="5" t="s">
        <v>31</v>
      </c>
      <c r="H73" s="5">
        <v>22</v>
      </c>
      <c r="I73" s="7">
        <v>710.1</v>
      </c>
      <c r="J73" s="5">
        <v>10</v>
      </c>
      <c r="K73" s="5">
        <v>18</v>
      </c>
      <c r="L73" s="5" t="s">
        <v>32</v>
      </c>
      <c r="M73" s="7">
        <f t="shared" si="4"/>
        <v>15622.2</v>
      </c>
      <c r="N73" s="7">
        <f t="shared" si="5"/>
        <v>1562.22</v>
      </c>
      <c r="O73" s="7">
        <f t="shared" si="6"/>
        <v>2530.7964000000002</v>
      </c>
      <c r="P73" s="7">
        <f t="shared" si="7"/>
        <v>16590.776400000002</v>
      </c>
    </row>
    <row r="74" spans="1:16" x14ac:dyDescent="0.25">
      <c r="A74" s="2" t="s">
        <v>134</v>
      </c>
      <c r="B74" s="3">
        <v>45386</v>
      </c>
      <c r="C74" s="2" t="s">
        <v>47</v>
      </c>
      <c r="D74" s="2" t="s">
        <v>60</v>
      </c>
      <c r="E74" s="2" t="s">
        <v>38</v>
      </c>
      <c r="F74" s="2" t="s">
        <v>135</v>
      </c>
      <c r="G74" s="2" t="s">
        <v>21</v>
      </c>
      <c r="H74" s="2">
        <v>8</v>
      </c>
      <c r="I74" s="4">
        <v>1488.33</v>
      </c>
      <c r="J74" s="2">
        <v>20</v>
      </c>
      <c r="K74" s="2">
        <v>18</v>
      </c>
      <c r="L74" s="2" t="s">
        <v>22</v>
      </c>
      <c r="M74" s="4">
        <f t="shared" si="4"/>
        <v>11906.64</v>
      </c>
      <c r="N74" s="4">
        <f t="shared" si="5"/>
        <v>2381.328</v>
      </c>
      <c r="O74" s="4">
        <f t="shared" si="6"/>
        <v>1714.5561600000001</v>
      </c>
      <c r="P74" s="4">
        <f t="shared" si="7"/>
        <v>11239.86816</v>
      </c>
    </row>
    <row r="75" spans="1:16" x14ac:dyDescent="0.25">
      <c r="A75" s="5" t="s">
        <v>136</v>
      </c>
      <c r="B75" s="6">
        <v>45383</v>
      </c>
      <c r="C75" s="5" t="s">
        <v>24</v>
      </c>
      <c r="D75" s="5" t="s">
        <v>43</v>
      </c>
      <c r="E75" s="5" t="s">
        <v>44</v>
      </c>
      <c r="F75" s="5" t="s">
        <v>78</v>
      </c>
      <c r="G75" s="5" t="s">
        <v>55</v>
      </c>
      <c r="H75" s="5">
        <v>13</v>
      </c>
      <c r="I75" s="7">
        <v>599.53</v>
      </c>
      <c r="J75" s="5">
        <v>5</v>
      </c>
      <c r="K75" s="5">
        <v>18</v>
      </c>
      <c r="L75" s="5" t="s">
        <v>22</v>
      </c>
      <c r="M75" s="7">
        <f t="shared" si="4"/>
        <v>7793.8899999999994</v>
      </c>
      <c r="N75" s="7">
        <f t="shared" si="5"/>
        <v>389.69449999999995</v>
      </c>
      <c r="O75" s="7">
        <f t="shared" si="6"/>
        <v>1332.7551900000001</v>
      </c>
      <c r="P75" s="7">
        <f t="shared" si="7"/>
        <v>8736.9506899999997</v>
      </c>
    </row>
    <row r="76" spans="1:16" x14ac:dyDescent="0.25">
      <c r="A76" s="2" t="s">
        <v>137</v>
      </c>
      <c r="B76" s="3">
        <v>45618</v>
      </c>
      <c r="C76" s="2" t="s">
        <v>47</v>
      </c>
      <c r="D76" s="2" t="s">
        <v>43</v>
      </c>
      <c r="E76" s="2" t="s">
        <v>38</v>
      </c>
      <c r="F76" s="2" t="s">
        <v>48</v>
      </c>
      <c r="G76" s="2" t="s">
        <v>27</v>
      </c>
      <c r="H76" s="2">
        <v>36</v>
      </c>
      <c r="I76" s="4">
        <v>591.35</v>
      </c>
      <c r="J76" s="2">
        <v>0</v>
      </c>
      <c r="K76" s="2">
        <v>18</v>
      </c>
      <c r="L76" s="2" t="s">
        <v>22</v>
      </c>
      <c r="M76" s="4">
        <f t="shared" si="4"/>
        <v>21288.600000000002</v>
      </c>
      <c r="N76" s="4">
        <f t="shared" si="5"/>
        <v>0</v>
      </c>
      <c r="O76" s="4">
        <f t="shared" si="6"/>
        <v>3831.9480000000003</v>
      </c>
      <c r="P76" s="4">
        <f t="shared" si="7"/>
        <v>25120.548000000003</v>
      </c>
    </row>
    <row r="77" spans="1:16" x14ac:dyDescent="0.25">
      <c r="A77" s="5" t="s">
        <v>138</v>
      </c>
      <c r="B77" s="6">
        <v>45421</v>
      </c>
      <c r="C77" s="5" t="s">
        <v>59</v>
      </c>
      <c r="D77" s="5" t="s">
        <v>43</v>
      </c>
      <c r="E77" s="5" t="s">
        <v>35</v>
      </c>
      <c r="F77" s="5" t="s">
        <v>82</v>
      </c>
      <c r="G77" s="5" t="s">
        <v>31</v>
      </c>
      <c r="H77" s="5">
        <v>29</v>
      </c>
      <c r="I77" s="7">
        <v>688</v>
      </c>
      <c r="J77" s="5">
        <v>0</v>
      </c>
      <c r="K77" s="5">
        <v>18</v>
      </c>
      <c r="L77" s="5" t="s">
        <v>49</v>
      </c>
      <c r="M77" s="7">
        <f t="shared" si="4"/>
        <v>19952</v>
      </c>
      <c r="N77" s="7">
        <f t="shared" si="5"/>
        <v>0</v>
      </c>
      <c r="O77" s="7">
        <f t="shared" si="6"/>
        <v>3591.36</v>
      </c>
      <c r="P77" s="7">
        <f t="shared" si="7"/>
        <v>23543.360000000001</v>
      </c>
    </row>
    <row r="78" spans="1:16" x14ac:dyDescent="0.25">
      <c r="A78" s="2" t="s">
        <v>139</v>
      </c>
      <c r="B78" s="3">
        <v>45369</v>
      </c>
      <c r="C78" s="2" t="s">
        <v>59</v>
      </c>
      <c r="D78" s="2" t="s">
        <v>54</v>
      </c>
      <c r="E78" s="2" t="s">
        <v>35</v>
      </c>
      <c r="F78" s="2" t="s">
        <v>82</v>
      </c>
      <c r="G78" s="2" t="s">
        <v>31</v>
      </c>
      <c r="H78" s="2">
        <v>37</v>
      </c>
      <c r="I78" s="4">
        <v>1262.5999999999999</v>
      </c>
      <c r="J78" s="2">
        <v>0</v>
      </c>
      <c r="K78" s="2">
        <v>18</v>
      </c>
      <c r="L78" s="2" t="s">
        <v>22</v>
      </c>
      <c r="M78" s="4">
        <f t="shared" si="4"/>
        <v>46716.2</v>
      </c>
      <c r="N78" s="4">
        <f t="shared" si="5"/>
        <v>0</v>
      </c>
      <c r="O78" s="4">
        <f t="shared" si="6"/>
        <v>8408.9159999999993</v>
      </c>
      <c r="P78" s="4">
        <f t="shared" si="7"/>
        <v>55125.115999999995</v>
      </c>
    </row>
    <row r="79" spans="1:16" x14ac:dyDescent="0.25">
      <c r="A79" s="5" t="s">
        <v>140</v>
      </c>
      <c r="B79" s="6">
        <v>45597</v>
      </c>
      <c r="C79" s="5" t="s">
        <v>17</v>
      </c>
      <c r="D79" s="5" t="s">
        <v>60</v>
      </c>
      <c r="E79" s="5" t="s">
        <v>44</v>
      </c>
      <c r="F79" s="5" t="s">
        <v>141</v>
      </c>
      <c r="G79" s="5" t="s">
        <v>21</v>
      </c>
      <c r="H79" s="5">
        <v>36</v>
      </c>
      <c r="I79" s="7">
        <v>1531.24</v>
      </c>
      <c r="J79" s="5">
        <v>15</v>
      </c>
      <c r="K79" s="5">
        <v>18</v>
      </c>
      <c r="L79" s="5" t="s">
        <v>22</v>
      </c>
      <c r="M79" s="7">
        <f t="shared" si="4"/>
        <v>55124.639999999999</v>
      </c>
      <c r="N79" s="7">
        <f t="shared" si="5"/>
        <v>8268.6959999999999</v>
      </c>
      <c r="O79" s="7">
        <f t="shared" si="6"/>
        <v>8434.0699200000017</v>
      </c>
      <c r="P79" s="7">
        <f t="shared" si="7"/>
        <v>55290.013920000005</v>
      </c>
    </row>
    <row r="80" spans="1:16" x14ac:dyDescent="0.25">
      <c r="A80" s="2" t="s">
        <v>142</v>
      </c>
      <c r="B80" s="3">
        <v>45583</v>
      </c>
      <c r="C80" s="2" t="s">
        <v>24</v>
      </c>
      <c r="D80" s="2" t="s">
        <v>52</v>
      </c>
      <c r="E80" s="2" t="s">
        <v>29</v>
      </c>
      <c r="F80" s="2" t="s">
        <v>30</v>
      </c>
      <c r="G80" s="2" t="s">
        <v>31</v>
      </c>
      <c r="H80" s="2">
        <v>38</v>
      </c>
      <c r="I80" s="4">
        <v>1980.16</v>
      </c>
      <c r="J80" s="2">
        <v>5</v>
      </c>
      <c r="K80" s="2">
        <v>18</v>
      </c>
      <c r="L80" s="2" t="s">
        <v>22</v>
      </c>
      <c r="M80" s="4">
        <f t="shared" si="4"/>
        <v>75246.080000000002</v>
      </c>
      <c r="N80" s="4">
        <f t="shared" si="5"/>
        <v>3762.3040000000001</v>
      </c>
      <c r="O80" s="4">
        <f t="shared" si="6"/>
        <v>12867.079679999999</v>
      </c>
      <c r="P80" s="4">
        <f t="shared" si="7"/>
        <v>84350.855679999993</v>
      </c>
    </row>
    <row r="81" spans="1:16" x14ac:dyDescent="0.25">
      <c r="A81" s="5" t="s">
        <v>143</v>
      </c>
      <c r="B81" s="6">
        <v>45380</v>
      </c>
      <c r="C81" s="5" t="s">
        <v>59</v>
      </c>
      <c r="D81" s="5" t="s">
        <v>18</v>
      </c>
      <c r="E81" s="5" t="s">
        <v>29</v>
      </c>
      <c r="F81" s="5" t="s">
        <v>80</v>
      </c>
      <c r="G81" s="5" t="s">
        <v>21</v>
      </c>
      <c r="H81" s="5">
        <v>43</v>
      </c>
      <c r="I81" s="7">
        <v>171.56</v>
      </c>
      <c r="J81" s="5">
        <v>0</v>
      </c>
      <c r="K81" s="5">
        <v>18</v>
      </c>
      <c r="L81" s="5" t="s">
        <v>22</v>
      </c>
      <c r="M81" s="7">
        <f t="shared" si="4"/>
        <v>7377.08</v>
      </c>
      <c r="N81" s="7">
        <f t="shared" si="5"/>
        <v>0</v>
      </c>
      <c r="O81" s="7">
        <f t="shared" si="6"/>
        <v>1327.8743999999999</v>
      </c>
      <c r="P81" s="7">
        <f t="shared" si="7"/>
        <v>8704.9544000000005</v>
      </c>
    </row>
    <row r="82" spans="1:16" x14ac:dyDescent="0.25">
      <c r="A82" s="2" t="s">
        <v>144</v>
      </c>
      <c r="B82" s="3">
        <v>45308</v>
      </c>
      <c r="C82" s="2" t="s">
        <v>47</v>
      </c>
      <c r="D82" s="2" t="s">
        <v>25</v>
      </c>
      <c r="E82" s="2" t="s">
        <v>29</v>
      </c>
      <c r="F82" s="2" t="s">
        <v>80</v>
      </c>
      <c r="G82" s="2" t="s">
        <v>31</v>
      </c>
      <c r="H82" s="2">
        <v>45</v>
      </c>
      <c r="I82" s="4">
        <v>1191.68</v>
      </c>
      <c r="J82" s="2">
        <v>5</v>
      </c>
      <c r="K82" s="2">
        <v>18</v>
      </c>
      <c r="L82" s="2" t="s">
        <v>49</v>
      </c>
      <c r="M82" s="4">
        <f t="shared" si="4"/>
        <v>53625.600000000006</v>
      </c>
      <c r="N82" s="4">
        <f t="shared" si="5"/>
        <v>2681.28</v>
      </c>
      <c r="O82" s="4">
        <f t="shared" si="6"/>
        <v>9169.977600000002</v>
      </c>
      <c r="P82" s="4">
        <f t="shared" si="7"/>
        <v>60114.297600000005</v>
      </c>
    </row>
    <row r="83" spans="1:16" x14ac:dyDescent="0.25">
      <c r="A83" s="5" t="s">
        <v>145</v>
      </c>
      <c r="B83" s="6">
        <v>45593</v>
      </c>
      <c r="C83" s="5" t="s">
        <v>17</v>
      </c>
      <c r="D83" s="5" t="s">
        <v>52</v>
      </c>
      <c r="E83" s="5" t="s">
        <v>44</v>
      </c>
      <c r="F83" s="5" t="s">
        <v>93</v>
      </c>
      <c r="G83" s="5" t="s">
        <v>27</v>
      </c>
      <c r="H83" s="5">
        <v>17</v>
      </c>
      <c r="I83" s="7">
        <v>1577.78</v>
      </c>
      <c r="J83" s="5">
        <v>20</v>
      </c>
      <c r="K83" s="5">
        <v>18</v>
      </c>
      <c r="L83" s="5" t="s">
        <v>22</v>
      </c>
      <c r="M83" s="7">
        <f t="shared" si="4"/>
        <v>26822.26</v>
      </c>
      <c r="N83" s="7">
        <f t="shared" si="5"/>
        <v>5364.4519999999993</v>
      </c>
      <c r="O83" s="7">
        <f t="shared" si="6"/>
        <v>3862.4054399999995</v>
      </c>
      <c r="P83" s="7">
        <f t="shared" si="7"/>
        <v>25320.213439999996</v>
      </c>
    </row>
    <row r="84" spans="1:16" x14ac:dyDescent="0.25">
      <c r="A84" s="2" t="s">
        <v>146</v>
      </c>
      <c r="B84" s="3">
        <v>45449</v>
      </c>
      <c r="C84" s="2" t="s">
        <v>59</v>
      </c>
      <c r="D84" s="2" t="s">
        <v>18</v>
      </c>
      <c r="E84" s="2" t="s">
        <v>44</v>
      </c>
      <c r="F84" s="2" t="s">
        <v>91</v>
      </c>
      <c r="G84" s="2" t="s">
        <v>21</v>
      </c>
      <c r="H84" s="2">
        <v>10</v>
      </c>
      <c r="I84" s="4">
        <v>152.11000000000001</v>
      </c>
      <c r="J84" s="2">
        <v>0</v>
      </c>
      <c r="K84" s="2">
        <v>18</v>
      </c>
      <c r="L84" s="2" t="s">
        <v>22</v>
      </c>
      <c r="M84" s="4">
        <f t="shared" si="4"/>
        <v>1521.1000000000001</v>
      </c>
      <c r="N84" s="4">
        <f t="shared" si="5"/>
        <v>0</v>
      </c>
      <c r="O84" s="4">
        <f t="shared" si="6"/>
        <v>273.798</v>
      </c>
      <c r="P84" s="4">
        <f t="shared" si="7"/>
        <v>1794.8980000000001</v>
      </c>
    </row>
    <row r="85" spans="1:16" x14ac:dyDescent="0.25">
      <c r="A85" s="5" t="s">
        <v>147</v>
      </c>
      <c r="B85" s="6">
        <v>45431</v>
      </c>
      <c r="C85" s="5" t="s">
        <v>17</v>
      </c>
      <c r="D85" s="5" t="s">
        <v>52</v>
      </c>
      <c r="E85" s="5" t="s">
        <v>29</v>
      </c>
      <c r="F85" s="5" t="s">
        <v>65</v>
      </c>
      <c r="G85" s="5" t="s">
        <v>27</v>
      </c>
      <c r="H85" s="5">
        <v>45</v>
      </c>
      <c r="I85" s="7">
        <v>615.14</v>
      </c>
      <c r="J85" s="5">
        <v>10</v>
      </c>
      <c r="K85" s="5">
        <v>18</v>
      </c>
      <c r="L85" s="5" t="s">
        <v>49</v>
      </c>
      <c r="M85" s="7">
        <f t="shared" si="4"/>
        <v>27681.3</v>
      </c>
      <c r="N85" s="7">
        <f t="shared" si="5"/>
        <v>2768.13</v>
      </c>
      <c r="O85" s="7">
        <f t="shared" si="6"/>
        <v>4484.3705999999993</v>
      </c>
      <c r="P85" s="7">
        <f t="shared" si="7"/>
        <v>29397.540599999997</v>
      </c>
    </row>
    <row r="86" spans="1:16" x14ac:dyDescent="0.25">
      <c r="A86" s="2" t="s">
        <v>148</v>
      </c>
      <c r="B86" s="3">
        <v>45457</v>
      </c>
      <c r="C86" s="2" t="s">
        <v>24</v>
      </c>
      <c r="D86" s="2" t="s">
        <v>52</v>
      </c>
      <c r="E86" s="2" t="s">
        <v>29</v>
      </c>
      <c r="F86" s="2" t="s">
        <v>65</v>
      </c>
      <c r="G86" s="2" t="s">
        <v>27</v>
      </c>
      <c r="H86" s="2">
        <v>3</v>
      </c>
      <c r="I86" s="4">
        <v>1779.95</v>
      </c>
      <c r="J86" s="2">
        <v>20</v>
      </c>
      <c r="K86" s="2">
        <v>18</v>
      </c>
      <c r="L86" s="2" t="s">
        <v>32</v>
      </c>
      <c r="M86" s="4">
        <f t="shared" si="4"/>
        <v>5339.85</v>
      </c>
      <c r="N86" s="4">
        <f t="shared" si="5"/>
        <v>1067.97</v>
      </c>
      <c r="O86" s="4">
        <f t="shared" si="6"/>
        <v>768.9384</v>
      </c>
      <c r="P86" s="4">
        <f t="shared" si="7"/>
        <v>5040.8184000000001</v>
      </c>
    </row>
    <row r="87" spans="1:16" x14ac:dyDescent="0.25">
      <c r="A87" s="5" t="s">
        <v>149</v>
      </c>
      <c r="B87" s="6">
        <v>45429</v>
      </c>
      <c r="C87" s="5" t="s">
        <v>59</v>
      </c>
      <c r="D87" s="5" t="s">
        <v>60</v>
      </c>
      <c r="E87" s="5" t="s">
        <v>29</v>
      </c>
      <c r="F87" s="5" t="s">
        <v>41</v>
      </c>
      <c r="G87" s="5" t="s">
        <v>21</v>
      </c>
      <c r="H87" s="5">
        <v>38</v>
      </c>
      <c r="I87" s="7">
        <v>1902.06</v>
      </c>
      <c r="J87" s="5">
        <v>20</v>
      </c>
      <c r="K87" s="5">
        <v>18</v>
      </c>
      <c r="L87" s="5" t="s">
        <v>32</v>
      </c>
      <c r="M87" s="7">
        <f t="shared" si="4"/>
        <v>72278.28</v>
      </c>
      <c r="N87" s="7">
        <f t="shared" si="5"/>
        <v>14455.656000000001</v>
      </c>
      <c r="O87" s="7">
        <f t="shared" si="6"/>
        <v>10408.072319999999</v>
      </c>
      <c r="P87" s="7">
        <f t="shared" si="7"/>
        <v>68230.696319999988</v>
      </c>
    </row>
    <row r="88" spans="1:16" x14ac:dyDescent="0.25">
      <c r="A88" s="2" t="s">
        <v>150</v>
      </c>
      <c r="B88" s="3">
        <v>45617</v>
      </c>
      <c r="C88" s="2" t="s">
        <v>47</v>
      </c>
      <c r="D88" s="2" t="s">
        <v>52</v>
      </c>
      <c r="E88" s="2" t="s">
        <v>29</v>
      </c>
      <c r="F88" s="2" t="s">
        <v>80</v>
      </c>
      <c r="G88" s="2" t="s">
        <v>31</v>
      </c>
      <c r="H88" s="2">
        <v>12</v>
      </c>
      <c r="I88" s="4">
        <v>1993.92</v>
      </c>
      <c r="J88" s="2">
        <v>10</v>
      </c>
      <c r="K88" s="2">
        <v>18</v>
      </c>
      <c r="L88" s="2" t="s">
        <v>22</v>
      </c>
      <c r="M88" s="4">
        <f t="shared" si="4"/>
        <v>23927.040000000001</v>
      </c>
      <c r="N88" s="4">
        <f t="shared" si="5"/>
        <v>2392.7040000000002</v>
      </c>
      <c r="O88" s="4">
        <f t="shared" si="6"/>
        <v>3876.18048</v>
      </c>
      <c r="P88" s="4">
        <f t="shared" si="7"/>
        <v>25410.516479999998</v>
      </c>
    </row>
    <row r="89" spans="1:16" x14ac:dyDescent="0.25">
      <c r="A89" s="5" t="s">
        <v>151</v>
      </c>
      <c r="B89" s="6">
        <v>45460</v>
      </c>
      <c r="C89" s="5" t="s">
        <v>24</v>
      </c>
      <c r="D89" s="5" t="s">
        <v>64</v>
      </c>
      <c r="E89" s="5" t="s">
        <v>35</v>
      </c>
      <c r="F89" s="5" t="s">
        <v>82</v>
      </c>
      <c r="G89" s="5" t="s">
        <v>31</v>
      </c>
      <c r="H89" s="5">
        <v>21</v>
      </c>
      <c r="I89" s="7">
        <v>1343.57</v>
      </c>
      <c r="J89" s="5">
        <v>0</v>
      </c>
      <c r="K89" s="5">
        <v>18</v>
      </c>
      <c r="L89" s="5" t="s">
        <v>22</v>
      </c>
      <c r="M89" s="7">
        <f t="shared" si="4"/>
        <v>28214.969999999998</v>
      </c>
      <c r="N89" s="7">
        <f t="shared" si="5"/>
        <v>0</v>
      </c>
      <c r="O89" s="7">
        <f t="shared" si="6"/>
        <v>5078.6945999999998</v>
      </c>
      <c r="P89" s="7">
        <f t="shared" si="7"/>
        <v>33293.664599999996</v>
      </c>
    </row>
    <row r="90" spans="1:16" x14ac:dyDescent="0.25">
      <c r="A90" s="2" t="s">
        <v>152</v>
      </c>
      <c r="B90" s="3">
        <v>45351</v>
      </c>
      <c r="C90" s="2" t="s">
        <v>17</v>
      </c>
      <c r="D90" s="2" t="s">
        <v>54</v>
      </c>
      <c r="E90" s="2" t="s">
        <v>35</v>
      </c>
      <c r="F90" s="2" t="s">
        <v>76</v>
      </c>
      <c r="G90" s="2" t="s">
        <v>27</v>
      </c>
      <c r="H90" s="2">
        <v>6</v>
      </c>
      <c r="I90" s="4">
        <v>635.89</v>
      </c>
      <c r="J90" s="2">
        <v>5</v>
      </c>
      <c r="K90" s="2">
        <v>18</v>
      </c>
      <c r="L90" s="2" t="s">
        <v>49</v>
      </c>
      <c r="M90" s="4">
        <f t="shared" si="4"/>
        <v>3815.34</v>
      </c>
      <c r="N90" s="4">
        <f t="shared" si="5"/>
        <v>190.767</v>
      </c>
      <c r="O90" s="4">
        <f t="shared" si="6"/>
        <v>652.4231400000001</v>
      </c>
      <c r="P90" s="4">
        <f t="shared" si="7"/>
        <v>4276.9961400000002</v>
      </c>
    </row>
    <row r="91" spans="1:16" x14ac:dyDescent="0.25">
      <c r="A91" s="5" t="s">
        <v>153</v>
      </c>
      <c r="B91" s="6">
        <v>45547</v>
      </c>
      <c r="C91" s="5" t="s">
        <v>59</v>
      </c>
      <c r="D91" s="5" t="s">
        <v>52</v>
      </c>
      <c r="E91" s="5" t="s">
        <v>35</v>
      </c>
      <c r="F91" s="5" t="s">
        <v>68</v>
      </c>
      <c r="G91" s="5" t="s">
        <v>31</v>
      </c>
      <c r="H91" s="5">
        <v>13</v>
      </c>
      <c r="I91" s="7">
        <v>1041.69</v>
      </c>
      <c r="J91" s="5">
        <v>15</v>
      </c>
      <c r="K91" s="5">
        <v>18</v>
      </c>
      <c r="L91" s="5" t="s">
        <v>22</v>
      </c>
      <c r="M91" s="7">
        <f t="shared" si="4"/>
        <v>13541.970000000001</v>
      </c>
      <c r="N91" s="7">
        <f t="shared" si="5"/>
        <v>2031.2955000000002</v>
      </c>
      <c r="O91" s="7">
        <f t="shared" si="6"/>
        <v>2071.9214099999999</v>
      </c>
      <c r="P91" s="7">
        <f t="shared" si="7"/>
        <v>13582.59591</v>
      </c>
    </row>
    <row r="92" spans="1:16" x14ac:dyDescent="0.25">
      <c r="A92" s="2" t="s">
        <v>154</v>
      </c>
      <c r="B92" s="3">
        <v>45354</v>
      </c>
      <c r="C92" s="2" t="s">
        <v>47</v>
      </c>
      <c r="D92" s="2" t="s">
        <v>43</v>
      </c>
      <c r="E92" s="2" t="s">
        <v>35</v>
      </c>
      <c r="F92" s="2" t="s">
        <v>82</v>
      </c>
      <c r="G92" s="2" t="s">
        <v>21</v>
      </c>
      <c r="H92" s="2">
        <v>29</v>
      </c>
      <c r="I92" s="4">
        <v>1762.88</v>
      </c>
      <c r="J92" s="2">
        <v>10</v>
      </c>
      <c r="K92" s="2">
        <v>18</v>
      </c>
      <c r="L92" s="2" t="s">
        <v>22</v>
      </c>
      <c r="M92" s="4">
        <f t="shared" si="4"/>
        <v>51123.520000000004</v>
      </c>
      <c r="N92" s="4">
        <f t="shared" si="5"/>
        <v>5112.3520000000008</v>
      </c>
      <c r="O92" s="4">
        <f t="shared" si="6"/>
        <v>8282.0102400000014</v>
      </c>
      <c r="P92" s="4">
        <f t="shared" si="7"/>
        <v>54293.178240000008</v>
      </c>
    </row>
    <row r="93" spans="1:16" x14ac:dyDescent="0.25">
      <c r="A93" s="5" t="s">
        <v>155</v>
      </c>
      <c r="B93" s="6">
        <v>45407</v>
      </c>
      <c r="C93" s="5" t="s">
        <v>47</v>
      </c>
      <c r="D93" s="5" t="s">
        <v>34</v>
      </c>
      <c r="E93" s="5" t="s">
        <v>19</v>
      </c>
      <c r="F93" s="5" t="s">
        <v>26</v>
      </c>
      <c r="G93" s="5" t="s">
        <v>55</v>
      </c>
      <c r="H93" s="5">
        <v>1</v>
      </c>
      <c r="I93" s="7">
        <v>1108.98</v>
      </c>
      <c r="J93" s="5">
        <v>0</v>
      </c>
      <c r="K93" s="5">
        <v>18</v>
      </c>
      <c r="L93" s="5" t="s">
        <v>32</v>
      </c>
      <c r="M93" s="7">
        <f t="shared" si="4"/>
        <v>1108.98</v>
      </c>
      <c r="N93" s="7">
        <f t="shared" si="5"/>
        <v>0</v>
      </c>
      <c r="O93" s="7">
        <f t="shared" si="6"/>
        <v>199.6164</v>
      </c>
      <c r="P93" s="7">
        <f t="shared" si="7"/>
        <v>1308.5963999999999</v>
      </c>
    </row>
    <row r="94" spans="1:16" x14ac:dyDescent="0.25">
      <c r="A94" s="2" t="s">
        <v>156</v>
      </c>
      <c r="B94" s="3">
        <v>45539</v>
      </c>
      <c r="C94" s="2" t="s">
        <v>59</v>
      </c>
      <c r="D94" s="2" t="s">
        <v>34</v>
      </c>
      <c r="E94" s="2" t="s">
        <v>19</v>
      </c>
      <c r="F94" s="2" t="s">
        <v>157</v>
      </c>
      <c r="G94" s="2" t="s">
        <v>31</v>
      </c>
      <c r="H94" s="2">
        <v>33</v>
      </c>
      <c r="I94" s="4">
        <v>1413.77</v>
      </c>
      <c r="J94" s="2">
        <v>10</v>
      </c>
      <c r="K94" s="2">
        <v>18</v>
      </c>
      <c r="L94" s="2" t="s">
        <v>22</v>
      </c>
      <c r="M94" s="4">
        <f t="shared" si="4"/>
        <v>46654.409999999996</v>
      </c>
      <c r="N94" s="4">
        <f t="shared" si="5"/>
        <v>4665.4409999999998</v>
      </c>
      <c r="O94" s="4">
        <f t="shared" si="6"/>
        <v>7558.0144199999995</v>
      </c>
      <c r="P94" s="4">
        <f t="shared" si="7"/>
        <v>49546.983419999997</v>
      </c>
    </row>
    <row r="95" spans="1:16" x14ac:dyDescent="0.25">
      <c r="A95" s="5" t="s">
        <v>158</v>
      </c>
      <c r="B95" s="6">
        <v>45327</v>
      </c>
      <c r="C95" s="5" t="s">
        <v>24</v>
      </c>
      <c r="D95" s="5" t="s">
        <v>34</v>
      </c>
      <c r="E95" s="5" t="s">
        <v>35</v>
      </c>
      <c r="F95" s="5" t="s">
        <v>88</v>
      </c>
      <c r="G95" s="5" t="s">
        <v>31</v>
      </c>
      <c r="H95" s="5">
        <v>39</v>
      </c>
      <c r="I95" s="7">
        <v>1021.4</v>
      </c>
      <c r="J95" s="5">
        <v>0</v>
      </c>
      <c r="K95" s="5">
        <v>18</v>
      </c>
      <c r="L95" s="5" t="s">
        <v>22</v>
      </c>
      <c r="M95" s="7">
        <f t="shared" si="4"/>
        <v>39834.6</v>
      </c>
      <c r="N95" s="7">
        <f t="shared" si="5"/>
        <v>0</v>
      </c>
      <c r="O95" s="7">
        <f t="shared" si="6"/>
        <v>7170.2279999999992</v>
      </c>
      <c r="P95" s="7">
        <f t="shared" si="7"/>
        <v>47004.827999999994</v>
      </c>
    </row>
    <row r="96" spans="1:16" x14ac:dyDescent="0.25">
      <c r="A96" s="2" t="s">
        <v>159</v>
      </c>
      <c r="B96" s="3">
        <v>45588</v>
      </c>
      <c r="C96" s="2" t="s">
        <v>17</v>
      </c>
      <c r="D96" s="2" t="s">
        <v>43</v>
      </c>
      <c r="E96" s="2" t="s">
        <v>38</v>
      </c>
      <c r="F96" s="2" t="s">
        <v>70</v>
      </c>
      <c r="G96" s="2" t="s">
        <v>27</v>
      </c>
      <c r="H96" s="2">
        <v>47</v>
      </c>
      <c r="I96" s="4">
        <v>604.13</v>
      </c>
      <c r="J96" s="2">
        <v>15</v>
      </c>
      <c r="K96" s="2">
        <v>18</v>
      </c>
      <c r="L96" s="2" t="s">
        <v>22</v>
      </c>
      <c r="M96" s="4">
        <f t="shared" si="4"/>
        <v>28394.11</v>
      </c>
      <c r="N96" s="4">
        <f t="shared" si="5"/>
        <v>4259.1165000000001</v>
      </c>
      <c r="O96" s="4">
        <f t="shared" si="6"/>
        <v>4344.2988300000006</v>
      </c>
      <c r="P96" s="4">
        <f t="shared" si="7"/>
        <v>28479.29233</v>
      </c>
    </row>
    <row r="97" spans="1:16" x14ac:dyDescent="0.25">
      <c r="A97" s="5" t="s">
        <v>160</v>
      </c>
      <c r="B97" s="6">
        <v>45525</v>
      </c>
      <c r="C97" s="5" t="s">
        <v>24</v>
      </c>
      <c r="D97" s="5" t="s">
        <v>52</v>
      </c>
      <c r="E97" s="5" t="s">
        <v>35</v>
      </c>
      <c r="F97" s="5" t="s">
        <v>88</v>
      </c>
      <c r="G97" s="5" t="s">
        <v>55</v>
      </c>
      <c r="H97" s="5">
        <v>36</v>
      </c>
      <c r="I97" s="7">
        <v>1528.12</v>
      </c>
      <c r="J97" s="5">
        <v>10</v>
      </c>
      <c r="K97" s="5">
        <v>18</v>
      </c>
      <c r="L97" s="5" t="s">
        <v>22</v>
      </c>
      <c r="M97" s="7">
        <f t="shared" si="4"/>
        <v>55012.319999999992</v>
      </c>
      <c r="N97" s="7">
        <f t="shared" si="5"/>
        <v>5501.232</v>
      </c>
      <c r="O97" s="7">
        <f t="shared" si="6"/>
        <v>8911.9958399999978</v>
      </c>
      <c r="P97" s="7">
        <f t="shared" si="7"/>
        <v>58423.083839999985</v>
      </c>
    </row>
    <row r="98" spans="1:16" x14ac:dyDescent="0.25">
      <c r="A98" s="2" t="s">
        <v>161</v>
      </c>
      <c r="B98" s="3">
        <v>45653</v>
      </c>
      <c r="C98" s="2" t="s">
        <v>47</v>
      </c>
      <c r="D98" s="2" t="s">
        <v>54</v>
      </c>
      <c r="E98" s="2" t="s">
        <v>38</v>
      </c>
      <c r="F98" s="2" t="s">
        <v>96</v>
      </c>
      <c r="G98" s="2" t="s">
        <v>21</v>
      </c>
      <c r="H98" s="2">
        <v>3</v>
      </c>
      <c r="I98" s="4">
        <v>643.16999999999996</v>
      </c>
      <c r="J98" s="2">
        <v>10</v>
      </c>
      <c r="K98" s="2">
        <v>18</v>
      </c>
      <c r="L98" s="2" t="s">
        <v>49</v>
      </c>
      <c r="M98" s="4">
        <f t="shared" si="4"/>
        <v>1929.5099999999998</v>
      </c>
      <c r="N98" s="4">
        <f t="shared" si="5"/>
        <v>192.95099999999999</v>
      </c>
      <c r="O98" s="4">
        <f t="shared" si="6"/>
        <v>312.58061999999995</v>
      </c>
      <c r="P98" s="4">
        <f t="shared" si="7"/>
        <v>2049.1396199999999</v>
      </c>
    </row>
    <row r="99" spans="1:16" x14ac:dyDescent="0.25">
      <c r="A99" s="5" t="s">
        <v>162</v>
      </c>
      <c r="B99" s="6">
        <v>45343</v>
      </c>
      <c r="C99" s="5" t="s">
        <v>47</v>
      </c>
      <c r="D99" s="5" t="s">
        <v>52</v>
      </c>
      <c r="E99" s="5" t="s">
        <v>35</v>
      </c>
      <c r="F99" s="5" t="s">
        <v>76</v>
      </c>
      <c r="G99" s="5" t="s">
        <v>27</v>
      </c>
      <c r="H99" s="5">
        <v>33</v>
      </c>
      <c r="I99" s="7">
        <v>1931.05</v>
      </c>
      <c r="J99" s="5">
        <v>5</v>
      </c>
      <c r="K99" s="5">
        <v>18</v>
      </c>
      <c r="L99" s="5" t="s">
        <v>22</v>
      </c>
      <c r="M99" s="7">
        <f t="shared" si="4"/>
        <v>63724.65</v>
      </c>
      <c r="N99" s="7">
        <f t="shared" si="5"/>
        <v>3186.2325000000001</v>
      </c>
      <c r="O99" s="7">
        <f t="shared" si="6"/>
        <v>10896.915150000001</v>
      </c>
      <c r="P99" s="7">
        <f t="shared" si="7"/>
        <v>71435.332649999997</v>
      </c>
    </row>
    <row r="100" spans="1:16" x14ac:dyDescent="0.25">
      <c r="A100" s="2" t="s">
        <v>163</v>
      </c>
      <c r="B100" s="3">
        <v>45532</v>
      </c>
      <c r="C100" s="2" t="s">
        <v>24</v>
      </c>
      <c r="D100" s="2" t="s">
        <v>25</v>
      </c>
      <c r="E100" s="2" t="s">
        <v>35</v>
      </c>
      <c r="F100" s="2" t="s">
        <v>82</v>
      </c>
      <c r="G100" s="2" t="s">
        <v>21</v>
      </c>
      <c r="H100" s="2">
        <v>42</v>
      </c>
      <c r="I100" s="4">
        <v>1940.21</v>
      </c>
      <c r="J100" s="2">
        <v>0</v>
      </c>
      <c r="K100" s="2">
        <v>18</v>
      </c>
      <c r="L100" s="2" t="s">
        <v>49</v>
      </c>
      <c r="M100" s="4">
        <f t="shared" si="4"/>
        <v>81488.820000000007</v>
      </c>
      <c r="N100" s="4">
        <f t="shared" si="5"/>
        <v>0</v>
      </c>
      <c r="O100" s="4">
        <f t="shared" si="6"/>
        <v>14667.987600000002</v>
      </c>
      <c r="P100" s="4">
        <f t="shared" si="7"/>
        <v>96156.807600000015</v>
      </c>
    </row>
    <row r="101" spans="1:16" x14ac:dyDescent="0.25">
      <c r="A101" s="5" t="s">
        <v>164</v>
      </c>
      <c r="B101" s="6">
        <v>45541</v>
      </c>
      <c r="C101" s="5" t="s">
        <v>24</v>
      </c>
      <c r="D101" s="5" t="s">
        <v>60</v>
      </c>
      <c r="E101" s="5" t="s">
        <v>38</v>
      </c>
      <c r="F101" s="5" t="s">
        <v>135</v>
      </c>
      <c r="G101" s="5" t="s">
        <v>55</v>
      </c>
      <c r="H101" s="5">
        <v>25</v>
      </c>
      <c r="I101" s="7">
        <v>1908.74</v>
      </c>
      <c r="J101" s="5">
        <v>20</v>
      </c>
      <c r="K101" s="5">
        <v>18</v>
      </c>
      <c r="L101" s="5" t="s">
        <v>32</v>
      </c>
      <c r="M101" s="7">
        <f t="shared" si="4"/>
        <v>47718.5</v>
      </c>
      <c r="N101" s="7">
        <f t="shared" si="5"/>
        <v>9543.7000000000007</v>
      </c>
      <c r="O101" s="7">
        <f t="shared" si="6"/>
        <v>6871.4639999999999</v>
      </c>
      <c r="P101" s="7">
        <f t="shared" si="7"/>
        <v>45046.264000000003</v>
      </c>
    </row>
    <row r="102" spans="1:16" x14ac:dyDescent="0.25">
      <c r="A102" s="2" t="s">
        <v>165</v>
      </c>
      <c r="B102" s="3">
        <v>45616</v>
      </c>
      <c r="C102" s="2" t="s">
        <v>59</v>
      </c>
      <c r="D102" s="2" t="s">
        <v>18</v>
      </c>
      <c r="E102" s="2" t="s">
        <v>29</v>
      </c>
      <c r="F102" s="2" t="s">
        <v>80</v>
      </c>
      <c r="G102" s="2" t="s">
        <v>55</v>
      </c>
      <c r="H102" s="2">
        <v>48</v>
      </c>
      <c r="I102" s="4">
        <v>189.85</v>
      </c>
      <c r="J102" s="2">
        <v>0</v>
      </c>
      <c r="K102" s="2">
        <v>18</v>
      </c>
      <c r="L102" s="2" t="s">
        <v>22</v>
      </c>
      <c r="M102" s="4">
        <f t="shared" si="4"/>
        <v>9112.7999999999993</v>
      </c>
      <c r="N102" s="4">
        <f t="shared" si="5"/>
        <v>0</v>
      </c>
      <c r="O102" s="4">
        <f t="shared" si="6"/>
        <v>1640.3039999999999</v>
      </c>
      <c r="P102" s="4">
        <f t="shared" si="7"/>
        <v>10753.103999999999</v>
      </c>
    </row>
    <row r="103" spans="1:16" x14ac:dyDescent="0.25">
      <c r="A103" s="5" t="s">
        <v>166</v>
      </c>
      <c r="B103" s="6">
        <v>45475</v>
      </c>
      <c r="C103" s="5" t="s">
        <v>47</v>
      </c>
      <c r="D103" s="5" t="s">
        <v>43</v>
      </c>
      <c r="E103" s="5" t="s">
        <v>19</v>
      </c>
      <c r="F103" s="5" t="s">
        <v>157</v>
      </c>
      <c r="G103" s="5" t="s">
        <v>27</v>
      </c>
      <c r="H103" s="5">
        <v>21</v>
      </c>
      <c r="I103" s="7">
        <v>1594.33</v>
      </c>
      <c r="J103" s="5">
        <v>5</v>
      </c>
      <c r="K103" s="5">
        <v>18</v>
      </c>
      <c r="L103" s="5" t="s">
        <v>22</v>
      </c>
      <c r="M103" s="7">
        <f t="shared" si="4"/>
        <v>33480.93</v>
      </c>
      <c r="N103" s="7">
        <f t="shared" si="5"/>
        <v>1674.0464999999999</v>
      </c>
      <c r="O103" s="7">
        <f t="shared" si="6"/>
        <v>5725.2390300000006</v>
      </c>
      <c r="P103" s="7">
        <f t="shared" si="7"/>
        <v>37532.122530000001</v>
      </c>
    </row>
    <row r="104" spans="1:16" x14ac:dyDescent="0.25">
      <c r="A104" s="2" t="s">
        <v>167</v>
      </c>
      <c r="B104" s="3">
        <v>45381</v>
      </c>
      <c r="C104" s="2" t="s">
        <v>47</v>
      </c>
      <c r="D104" s="2" t="s">
        <v>18</v>
      </c>
      <c r="E104" s="2" t="s">
        <v>38</v>
      </c>
      <c r="F104" s="2" t="s">
        <v>70</v>
      </c>
      <c r="G104" s="2" t="s">
        <v>31</v>
      </c>
      <c r="H104" s="2">
        <v>44</v>
      </c>
      <c r="I104" s="4">
        <v>1587.11</v>
      </c>
      <c r="J104" s="2">
        <v>0</v>
      </c>
      <c r="K104" s="2">
        <v>18</v>
      </c>
      <c r="L104" s="2" t="s">
        <v>32</v>
      </c>
      <c r="M104" s="4">
        <f t="shared" si="4"/>
        <v>69832.84</v>
      </c>
      <c r="N104" s="4">
        <f t="shared" si="5"/>
        <v>0</v>
      </c>
      <c r="O104" s="4">
        <f t="shared" si="6"/>
        <v>12569.911199999999</v>
      </c>
      <c r="P104" s="4">
        <f t="shared" si="7"/>
        <v>82402.751199999999</v>
      </c>
    </row>
    <row r="105" spans="1:16" x14ac:dyDescent="0.25">
      <c r="A105" s="5" t="s">
        <v>168</v>
      </c>
      <c r="B105" s="6">
        <v>45422</v>
      </c>
      <c r="C105" s="5" t="s">
        <v>24</v>
      </c>
      <c r="D105" s="5" t="s">
        <v>18</v>
      </c>
      <c r="E105" s="5" t="s">
        <v>19</v>
      </c>
      <c r="F105" s="5" t="s">
        <v>26</v>
      </c>
      <c r="G105" s="5" t="s">
        <v>31</v>
      </c>
      <c r="H105" s="5">
        <v>10</v>
      </c>
      <c r="I105" s="7">
        <v>472.06</v>
      </c>
      <c r="J105" s="5">
        <v>20</v>
      </c>
      <c r="K105" s="5">
        <v>18</v>
      </c>
      <c r="L105" s="5" t="s">
        <v>32</v>
      </c>
      <c r="M105" s="7">
        <f t="shared" si="4"/>
        <v>4720.6000000000004</v>
      </c>
      <c r="N105" s="7">
        <f t="shared" si="5"/>
        <v>944.12</v>
      </c>
      <c r="O105" s="7">
        <f t="shared" si="6"/>
        <v>679.76640000000009</v>
      </c>
      <c r="P105" s="7">
        <f t="shared" si="7"/>
        <v>4456.2464000000009</v>
      </c>
    </row>
    <row r="106" spans="1:16" x14ac:dyDescent="0.25">
      <c r="A106" s="2" t="s">
        <v>169</v>
      </c>
      <c r="B106" s="3">
        <v>45592</v>
      </c>
      <c r="C106" s="2" t="s">
        <v>59</v>
      </c>
      <c r="D106" s="2" t="s">
        <v>52</v>
      </c>
      <c r="E106" s="2" t="s">
        <v>35</v>
      </c>
      <c r="F106" s="2" t="s">
        <v>36</v>
      </c>
      <c r="G106" s="2" t="s">
        <v>55</v>
      </c>
      <c r="H106" s="2">
        <v>11</v>
      </c>
      <c r="I106" s="4">
        <v>156.99</v>
      </c>
      <c r="J106" s="2">
        <v>5</v>
      </c>
      <c r="K106" s="2">
        <v>18</v>
      </c>
      <c r="L106" s="2" t="s">
        <v>32</v>
      </c>
      <c r="M106" s="4">
        <f t="shared" si="4"/>
        <v>1726.89</v>
      </c>
      <c r="N106" s="4">
        <f t="shared" si="5"/>
        <v>86.344500000000011</v>
      </c>
      <c r="O106" s="4">
        <f t="shared" si="6"/>
        <v>295.29819000000003</v>
      </c>
      <c r="P106" s="4">
        <f t="shared" si="7"/>
        <v>1935.8436900000002</v>
      </c>
    </row>
    <row r="107" spans="1:16" x14ac:dyDescent="0.25">
      <c r="A107" s="5" t="s">
        <v>170</v>
      </c>
      <c r="B107" s="6">
        <v>45413</v>
      </c>
      <c r="C107" s="5" t="s">
        <v>17</v>
      </c>
      <c r="D107" s="5" t="s">
        <v>52</v>
      </c>
      <c r="E107" s="5" t="s">
        <v>38</v>
      </c>
      <c r="F107" s="5" t="s">
        <v>70</v>
      </c>
      <c r="G107" s="5" t="s">
        <v>55</v>
      </c>
      <c r="H107" s="5">
        <v>25</v>
      </c>
      <c r="I107" s="7">
        <v>1708.14</v>
      </c>
      <c r="J107" s="5">
        <v>0</v>
      </c>
      <c r="K107" s="5">
        <v>18</v>
      </c>
      <c r="L107" s="5" t="s">
        <v>22</v>
      </c>
      <c r="M107" s="7">
        <f t="shared" si="4"/>
        <v>42703.5</v>
      </c>
      <c r="N107" s="7">
        <f t="shared" si="5"/>
        <v>0</v>
      </c>
      <c r="O107" s="7">
        <f t="shared" si="6"/>
        <v>7686.63</v>
      </c>
      <c r="P107" s="7">
        <f t="shared" si="7"/>
        <v>50390.13</v>
      </c>
    </row>
    <row r="108" spans="1:16" x14ac:dyDescent="0.25">
      <c r="A108" s="2" t="s">
        <v>171</v>
      </c>
      <c r="B108" s="3">
        <v>45581</v>
      </c>
      <c r="C108" s="2" t="s">
        <v>17</v>
      </c>
      <c r="D108" s="2" t="s">
        <v>43</v>
      </c>
      <c r="E108" s="2" t="s">
        <v>35</v>
      </c>
      <c r="F108" s="2" t="s">
        <v>68</v>
      </c>
      <c r="G108" s="2" t="s">
        <v>55</v>
      </c>
      <c r="H108" s="2">
        <v>43</v>
      </c>
      <c r="I108" s="4">
        <v>797.65</v>
      </c>
      <c r="J108" s="2">
        <v>0</v>
      </c>
      <c r="K108" s="2">
        <v>18</v>
      </c>
      <c r="L108" s="2" t="s">
        <v>22</v>
      </c>
      <c r="M108" s="4">
        <f t="shared" si="4"/>
        <v>34298.949999999997</v>
      </c>
      <c r="N108" s="4">
        <f t="shared" si="5"/>
        <v>0</v>
      </c>
      <c r="O108" s="4">
        <f t="shared" si="6"/>
        <v>6173.8109999999997</v>
      </c>
      <c r="P108" s="4">
        <f t="shared" si="7"/>
        <v>40472.760999999999</v>
      </c>
    </row>
    <row r="109" spans="1:16" x14ac:dyDescent="0.25">
      <c r="A109" s="5" t="s">
        <v>172</v>
      </c>
      <c r="B109" s="6">
        <v>45609</v>
      </c>
      <c r="C109" s="5" t="s">
        <v>24</v>
      </c>
      <c r="D109" s="5" t="s">
        <v>43</v>
      </c>
      <c r="E109" s="5" t="s">
        <v>19</v>
      </c>
      <c r="F109" s="5" t="s">
        <v>26</v>
      </c>
      <c r="G109" s="5" t="s">
        <v>21</v>
      </c>
      <c r="H109" s="5">
        <v>23</v>
      </c>
      <c r="I109" s="7">
        <v>445.82</v>
      </c>
      <c r="J109" s="5">
        <v>0</v>
      </c>
      <c r="K109" s="5">
        <v>18</v>
      </c>
      <c r="L109" s="5" t="s">
        <v>32</v>
      </c>
      <c r="M109" s="7">
        <f t="shared" si="4"/>
        <v>10253.86</v>
      </c>
      <c r="N109" s="7">
        <f t="shared" si="5"/>
        <v>0</v>
      </c>
      <c r="O109" s="7">
        <f t="shared" si="6"/>
        <v>1845.6948000000002</v>
      </c>
      <c r="P109" s="7">
        <f t="shared" si="7"/>
        <v>12099.554800000002</v>
      </c>
    </row>
    <row r="110" spans="1:16" x14ac:dyDescent="0.25">
      <c r="A110" s="2" t="s">
        <v>173</v>
      </c>
      <c r="B110" s="3">
        <v>45359</v>
      </c>
      <c r="C110" s="2" t="s">
        <v>59</v>
      </c>
      <c r="D110" s="2" t="s">
        <v>25</v>
      </c>
      <c r="E110" s="2" t="s">
        <v>38</v>
      </c>
      <c r="F110" s="2" t="s">
        <v>96</v>
      </c>
      <c r="G110" s="2" t="s">
        <v>55</v>
      </c>
      <c r="H110" s="2">
        <v>3</v>
      </c>
      <c r="I110" s="4">
        <v>1163.3499999999999</v>
      </c>
      <c r="J110" s="2">
        <v>20</v>
      </c>
      <c r="K110" s="2">
        <v>18</v>
      </c>
      <c r="L110" s="2" t="s">
        <v>49</v>
      </c>
      <c r="M110" s="4">
        <f t="shared" si="4"/>
        <v>3490.0499999999997</v>
      </c>
      <c r="N110" s="4">
        <f t="shared" si="5"/>
        <v>698.01</v>
      </c>
      <c r="O110" s="4">
        <f t="shared" si="6"/>
        <v>502.56720000000001</v>
      </c>
      <c r="P110" s="4">
        <f t="shared" si="7"/>
        <v>3294.6071999999999</v>
      </c>
    </row>
    <row r="111" spans="1:16" x14ac:dyDescent="0.25">
      <c r="A111" s="5" t="s">
        <v>174</v>
      </c>
      <c r="B111" s="6">
        <v>45563</v>
      </c>
      <c r="C111" s="5" t="s">
        <v>17</v>
      </c>
      <c r="D111" s="5" t="s">
        <v>54</v>
      </c>
      <c r="E111" s="5" t="s">
        <v>19</v>
      </c>
      <c r="F111" s="5" t="s">
        <v>62</v>
      </c>
      <c r="G111" s="5" t="s">
        <v>21</v>
      </c>
      <c r="H111" s="5">
        <v>9</v>
      </c>
      <c r="I111" s="7">
        <v>1575.16</v>
      </c>
      <c r="J111" s="5">
        <v>5</v>
      </c>
      <c r="K111" s="5">
        <v>18</v>
      </c>
      <c r="L111" s="5" t="s">
        <v>22</v>
      </c>
      <c r="M111" s="7">
        <f t="shared" si="4"/>
        <v>14176.44</v>
      </c>
      <c r="N111" s="7">
        <f t="shared" si="5"/>
        <v>708.822</v>
      </c>
      <c r="O111" s="7">
        <f t="shared" si="6"/>
        <v>2424.1712400000001</v>
      </c>
      <c r="P111" s="7">
        <f t="shared" si="7"/>
        <v>15891.78924</v>
      </c>
    </row>
    <row r="112" spans="1:16" x14ac:dyDescent="0.25">
      <c r="A112" s="2" t="s">
        <v>175</v>
      </c>
      <c r="B112" s="3">
        <v>45531</v>
      </c>
      <c r="C112" s="2" t="s">
        <v>47</v>
      </c>
      <c r="D112" s="2" t="s">
        <v>43</v>
      </c>
      <c r="E112" s="2" t="s">
        <v>29</v>
      </c>
      <c r="F112" s="2" t="s">
        <v>41</v>
      </c>
      <c r="G112" s="2" t="s">
        <v>31</v>
      </c>
      <c r="H112" s="2">
        <v>48</v>
      </c>
      <c r="I112" s="4">
        <v>1742.09</v>
      </c>
      <c r="J112" s="2">
        <v>0</v>
      </c>
      <c r="K112" s="2">
        <v>18</v>
      </c>
      <c r="L112" s="2" t="s">
        <v>22</v>
      </c>
      <c r="M112" s="4">
        <f t="shared" si="4"/>
        <v>83620.319999999992</v>
      </c>
      <c r="N112" s="4">
        <f t="shared" si="5"/>
        <v>0</v>
      </c>
      <c r="O112" s="4">
        <f t="shared" si="6"/>
        <v>15051.657599999999</v>
      </c>
      <c r="P112" s="4">
        <f t="shared" si="7"/>
        <v>98671.977599999984</v>
      </c>
    </row>
    <row r="113" spans="1:16" x14ac:dyDescent="0.25">
      <c r="A113" s="5" t="s">
        <v>176</v>
      </c>
      <c r="B113" s="6">
        <v>45355</v>
      </c>
      <c r="C113" s="5" t="s">
        <v>47</v>
      </c>
      <c r="D113" s="5" t="s">
        <v>54</v>
      </c>
      <c r="E113" s="5" t="s">
        <v>19</v>
      </c>
      <c r="F113" s="5" t="s">
        <v>57</v>
      </c>
      <c r="G113" s="5" t="s">
        <v>55</v>
      </c>
      <c r="H113" s="5">
        <v>26</v>
      </c>
      <c r="I113" s="7">
        <v>37.700000000000003</v>
      </c>
      <c r="J113" s="5">
        <v>15</v>
      </c>
      <c r="K113" s="5">
        <v>18</v>
      </c>
      <c r="L113" s="5" t="s">
        <v>22</v>
      </c>
      <c r="M113" s="7">
        <f t="shared" si="4"/>
        <v>980.2</v>
      </c>
      <c r="N113" s="7">
        <f t="shared" si="5"/>
        <v>147.03</v>
      </c>
      <c r="O113" s="7">
        <f t="shared" si="6"/>
        <v>149.97060000000002</v>
      </c>
      <c r="P113" s="7">
        <f t="shared" si="7"/>
        <v>983.14060000000006</v>
      </c>
    </row>
    <row r="114" spans="1:16" x14ac:dyDescent="0.25">
      <c r="A114" s="2" t="s">
        <v>177</v>
      </c>
      <c r="B114" s="3">
        <v>45609</v>
      </c>
      <c r="C114" s="2" t="s">
        <v>17</v>
      </c>
      <c r="D114" s="2" t="s">
        <v>54</v>
      </c>
      <c r="E114" s="2" t="s">
        <v>35</v>
      </c>
      <c r="F114" s="2" t="s">
        <v>36</v>
      </c>
      <c r="G114" s="2" t="s">
        <v>55</v>
      </c>
      <c r="H114" s="2">
        <v>44</v>
      </c>
      <c r="I114" s="4">
        <v>475.31</v>
      </c>
      <c r="J114" s="2">
        <v>0</v>
      </c>
      <c r="K114" s="2">
        <v>18</v>
      </c>
      <c r="L114" s="2" t="s">
        <v>22</v>
      </c>
      <c r="M114" s="4">
        <f t="shared" si="4"/>
        <v>20913.64</v>
      </c>
      <c r="N114" s="4">
        <f t="shared" si="5"/>
        <v>0</v>
      </c>
      <c r="O114" s="4">
        <f t="shared" si="6"/>
        <v>3764.4552000000003</v>
      </c>
      <c r="P114" s="4">
        <f t="shared" si="7"/>
        <v>24678.0952</v>
      </c>
    </row>
    <row r="115" spans="1:16" x14ac:dyDescent="0.25">
      <c r="A115" s="5" t="s">
        <v>178</v>
      </c>
      <c r="B115" s="6">
        <v>45315</v>
      </c>
      <c r="C115" s="5" t="s">
        <v>47</v>
      </c>
      <c r="D115" s="5" t="s">
        <v>60</v>
      </c>
      <c r="E115" s="5" t="s">
        <v>29</v>
      </c>
      <c r="F115" s="5" t="s">
        <v>41</v>
      </c>
      <c r="G115" s="5" t="s">
        <v>31</v>
      </c>
      <c r="H115" s="5">
        <v>42</v>
      </c>
      <c r="I115" s="7">
        <v>822.51</v>
      </c>
      <c r="J115" s="5">
        <v>0</v>
      </c>
      <c r="K115" s="5">
        <v>18</v>
      </c>
      <c r="L115" s="5" t="s">
        <v>22</v>
      </c>
      <c r="M115" s="7">
        <f t="shared" si="4"/>
        <v>34545.42</v>
      </c>
      <c r="N115" s="7">
        <f t="shared" si="5"/>
        <v>0</v>
      </c>
      <c r="O115" s="7">
        <f t="shared" si="6"/>
        <v>6218.1755999999996</v>
      </c>
      <c r="P115" s="7">
        <f t="shared" si="7"/>
        <v>40763.595600000001</v>
      </c>
    </row>
    <row r="116" spans="1:16" x14ac:dyDescent="0.25">
      <c r="A116" s="2" t="s">
        <v>179</v>
      </c>
      <c r="B116" s="3">
        <v>45481</v>
      </c>
      <c r="C116" s="2" t="s">
        <v>24</v>
      </c>
      <c r="D116" s="2" t="s">
        <v>60</v>
      </c>
      <c r="E116" s="2" t="s">
        <v>19</v>
      </c>
      <c r="F116" s="2" t="s">
        <v>62</v>
      </c>
      <c r="G116" s="2" t="s">
        <v>27</v>
      </c>
      <c r="H116" s="2">
        <v>35</v>
      </c>
      <c r="I116" s="4">
        <v>279.97000000000003</v>
      </c>
      <c r="J116" s="2">
        <v>10</v>
      </c>
      <c r="K116" s="2">
        <v>18</v>
      </c>
      <c r="L116" s="2" t="s">
        <v>22</v>
      </c>
      <c r="M116" s="4">
        <f t="shared" si="4"/>
        <v>9798.9500000000007</v>
      </c>
      <c r="N116" s="4">
        <f t="shared" si="5"/>
        <v>979.89499999999998</v>
      </c>
      <c r="O116" s="4">
        <f t="shared" si="6"/>
        <v>1587.4298999999999</v>
      </c>
      <c r="P116" s="4">
        <f t="shared" si="7"/>
        <v>10406.484899999999</v>
      </c>
    </row>
    <row r="117" spans="1:16" x14ac:dyDescent="0.25">
      <c r="A117" s="5" t="s">
        <v>180</v>
      </c>
      <c r="B117" s="6">
        <v>45308</v>
      </c>
      <c r="C117" s="5" t="s">
        <v>47</v>
      </c>
      <c r="D117" s="5" t="s">
        <v>54</v>
      </c>
      <c r="E117" s="5" t="s">
        <v>29</v>
      </c>
      <c r="F117" s="5" t="s">
        <v>74</v>
      </c>
      <c r="G117" s="5" t="s">
        <v>27</v>
      </c>
      <c r="H117" s="5">
        <v>40</v>
      </c>
      <c r="I117" s="7">
        <v>822.15</v>
      </c>
      <c r="J117" s="5">
        <v>5</v>
      </c>
      <c r="K117" s="5">
        <v>18</v>
      </c>
      <c r="L117" s="5" t="s">
        <v>49</v>
      </c>
      <c r="M117" s="7">
        <f t="shared" si="4"/>
        <v>32886</v>
      </c>
      <c r="N117" s="7">
        <f t="shared" si="5"/>
        <v>1644.3</v>
      </c>
      <c r="O117" s="7">
        <f t="shared" si="6"/>
        <v>5623.5059999999994</v>
      </c>
      <c r="P117" s="7">
        <f t="shared" si="7"/>
        <v>36865.205999999998</v>
      </c>
    </row>
    <row r="118" spans="1:16" x14ac:dyDescent="0.25">
      <c r="A118" s="2" t="s">
        <v>181</v>
      </c>
      <c r="B118" s="3">
        <v>45570</v>
      </c>
      <c r="C118" s="2" t="s">
        <v>24</v>
      </c>
      <c r="D118" s="2" t="s">
        <v>52</v>
      </c>
      <c r="E118" s="2" t="s">
        <v>38</v>
      </c>
      <c r="F118" s="2" t="s">
        <v>96</v>
      </c>
      <c r="G118" s="2" t="s">
        <v>21</v>
      </c>
      <c r="H118" s="2">
        <v>7</v>
      </c>
      <c r="I118" s="4">
        <v>1962.05</v>
      </c>
      <c r="J118" s="2">
        <v>5</v>
      </c>
      <c r="K118" s="2">
        <v>18</v>
      </c>
      <c r="L118" s="2" t="s">
        <v>22</v>
      </c>
      <c r="M118" s="4">
        <f t="shared" si="4"/>
        <v>13734.35</v>
      </c>
      <c r="N118" s="4">
        <f t="shared" si="5"/>
        <v>686.71749999999997</v>
      </c>
      <c r="O118" s="4">
        <f t="shared" si="6"/>
        <v>2348.5738500000002</v>
      </c>
      <c r="P118" s="4">
        <f t="shared" si="7"/>
        <v>15396.20635</v>
      </c>
    </row>
    <row r="119" spans="1:16" x14ac:dyDescent="0.25">
      <c r="A119" s="5" t="s">
        <v>182</v>
      </c>
      <c r="B119" s="6">
        <v>45620</v>
      </c>
      <c r="C119" s="5" t="s">
        <v>24</v>
      </c>
      <c r="D119" s="5" t="s">
        <v>43</v>
      </c>
      <c r="E119" s="5" t="s">
        <v>38</v>
      </c>
      <c r="F119" s="5" t="s">
        <v>48</v>
      </c>
      <c r="G119" s="5" t="s">
        <v>21</v>
      </c>
      <c r="H119" s="5">
        <v>30</v>
      </c>
      <c r="I119" s="7">
        <v>192.43</v>
      </c>
      <c r="J119" s="5">
        <v>0</v>
      </c>
      <c r="K119" s="5">
        <v>18</v>
      </c>
      <c r="L119" s="5" t="s">
        <v>22</v>
      </c>
      <c r="M119" s="7">
        <f t="shared" si="4"/>
        <v>5772.9000000000005</v>
      </c>
      <c r="N119" s="7">
        <f t="shared" si="5"/>
        <v>0</v>
      </c>
      <c r="O119" s="7">
        <f t="shared" si="6"/>
        <v>1039.1220000000001</v>
      </c>
      <c r="P119" s="7">
        <f t="shared" si="7"/>
        <v>6812.0220000000008</v>
      </c>
    </row>
    <row r="120" spans="1:16" x14ac:dyDescent="0.25">
      <c r="A120" s="2" t="s">
        <v>183</v>
      </c>
      <c r="B120" s="3">
        <v>45398</v>
      </c>
      <c r="C120" s="2" t="s">
        <v>59</v>
      </c>
      <c r="D120" s="2" t="s">
        <v>64</v>
      </c>
      <c r="E120" s="2" t="s">
        <v>29</v>
      </c>
      <c r="F120" s="2" t="s">
        <v>80</v>
      </c>
      <c r="G120" s="2" t="s">
        <v>21</v>
      </c>
      <c r="H120" s="2">
        <v>37</v>
      </c>
      <c r="I120" s="4">
        <v>418.36</v>
      </c>
      <c r="J120" s="2">
        <v>15</v>
      </c>
      <c r="K120" s="2">
        <v>18</v>
      </c>
      <c r="L120" s="2" t="s">
        <v>22</v>
      </c>
      <c r="M120" s="4">
        <f t="shared" si="4"/>
        <v>15479.32</v>
      </c>
      <c r="N120" s="4">
        <f t="shared" si="5"/>
        <v>2321.8979999999997</v>
      </c>
      <c r="O120" s="4">
        <f t="shared" si="6"/>
        <v>2368.3359600000003</v>
      </c>
      <c r="P120" s="4">
        <f t="shared" si="7"/>
        <v>15525.757960000001</v>
      </c>
    </row>
    <row r="121" spans="1:16" x14ac:dyDescent="0.25">
      <c r="A121" s="5" t="s">
        <v>184</v>
      </c>
      <c r="B121" s="6">
        <v>45358</v>
      </c>
      <c r="C121" s="5" t="s">
        <v>47</v>
      </c>
      <c r="D121" s="5" t="s">
        <v>64</v>
      </c>
      <c r="E121" s="5" t="s">
        <v>29</v>
      </c>
      <c r="F121" s="5" t="s">
        <v>30</v>
      </c>
      <c r="G121" s="5" t="s">
        <v>21</v>
      </c>
      <c r="H121" s="5">
        <v>1</v>
      </c>
      <c r="I121" s="7">
        <v>561.78</v>
      </c>
      <c r="J121" s="5">
        <v>0</v>
      </c>
      <c r="K121" s="5">
        <v>18</v>
      </c>
      <c r="L121" s="5" t="s">
        <v>32</v>
      </c>
      <c r="M121" s="7">
        <f t="shared" si="4"/>
        <v>561.78</v>
      </c>
      <c r="N121" s="7">
        <f t="shared" si="5"/>
        <v>0</v>
      </c>
      <c r="O121" s="7">
        <f t="shared" si="6"/>
        <v>101.12039999999999</v>
      </c>
      <c r="P121" s="7">
        <f t="shared" si="7"/>
        <v>662.90039999999999</v>
      </c>
    </row>
    <row r="122" spans="1:16" x14ac:dyDescent="0.25">
      <c r="A122" s="2" t="s">
        <v>185</v>
      </c>
      <c r="B122" s="3">
        <v>45593</v>
      </c>
      <c r="C122" s="2" t="s">
        <v>47</v>
      </c>
      <c r="D122" s="2" t="s">
        <v>60</v>
      </c>
      <c r="E122" s="2" t="s">
        <v>29</v>
      </c>
      <c r="F122" s="2" t="s">
        <v>41</v>
      </c>
      <c r="G122" s="2" t="s">
        <v>27</v>
      </c>
      <c r="H122" s="2">
        <v>1</v>
      </c>
      <c r="I122" s="4">
        <v>722.9</v>
      </c>
      <c r="J122" s="2">
        <v>0</v>
      </c>
      <c r="K122" s="2">
        <v>18</v>
      </c>
      <c r="L122" s="2" t="s">
        <v>22</v>
      </c>
      <c r="M122" s="4">
        <f t="shared" si="4"/>
        <v>722.9</v>
      </c>
      <c r="N122" s="4">
        <f t="shared" si="5"/>
        <v>0</v>
      </c>
      <c r="O122" s="4">
        <f t="shared" si="6"/>
        <v>130.12199999999999</v>
      </c>
      <c r="P122" s="4">
        <f t="shared" si="7"/>
        <v>853.02199999999993</v>
      </c>
    </row>
    <row r="123" spans="1:16" x14ac:dyDescent="0.25">
      <c r="A123" s="5" t="s">
        <v>186</v>
      </c>
      <c r="B123" s="6">
        <v>45324</v>
      </c>
      <c r="C123" s="5" t="s">
        <v>47</v>
      </c>
      <c r="D123" s="5" t="s">
        <v>43</v>
      </c>
      <c r="E123" s="5" t="s">
        <v>38</v>
      </c>
      <c r="F123" s="5" t="s">
        <v>48</v>
      </c>
      <c r="G123" s="5" t="s">
        <v>27</v>
      </c>
      <c r="H123" s="5">
        <v>48</v>
      </c>
      <c r="I123" s="7">
        <v>847.71</v>
      </c>
      <c r="J123" s="5">
        <v>0</v>
      </c>
      <c r="K123" s="5">
        <v>18</v>
      </c>
      <c r="L123" s="5" t="s">
        <v>22</v>
      </c>
      <c r="M123" s="7">
        <f t="shared" si="4"/>
        <v>40690.080000000002</v>
      </c>
      <c r="N123" s="7">
        <f t="shared" si="5"/>
        <v>0</v>
      </c>
      <c r="O123" s="7">
        <f t="shared" si="6"/>
        <v>7324.2144000000008</v>
      </c>
      <c r="P123" s="7">
        <f t="shared" si="7"/>
        <v>48014.294399999999</v>
      </c>
    </row>
    <row r="124" spans="1:16" x14ac:dyDescent="0.25">
      <c r="A124" s="2" t="s">
        <v>187</v>
      </c>
      <c r="B124" s="3">
        <v>45629</v>
      </c>
      <c r="C124" s="2" t="s">
        <v>17</v>
      </c>
      <c r="D124" s="2" t="s">
        <v>60</v>
      </c>
      <c r="E124" s="2" t="s">
        <v>35</v>
      </c>
      <c r="F124" s="2" t="s">
        <v>76</v>
      </c>
      <c r="G124" s="2" t="s">
        <v>31</v>
      </c>
      <c r="H124" s="2">
        <v>15</v>
      </c>
      <c r="I124" s="4">
        <v>1891.38</v>
      </c>
      <c r="J124" s="2">
        <v>0</v>
      </c>
      <c r="K124" s="2">
        <v>18</v>
      </c>
      <c r="L124" s="2" t="s">
        <v>32</v>
      </c>
      <c r="M124" s="4">
        <f t="shared" si="4"/>
        <v>28370.7</v>
      </c>
      <c r="N124" s="4">
        <f t="shared" si="5"/>
        <v>0</v>
      </c>
      <c r="O124" s="4">
        <f t="shared" si="6"/>
        <v>5106.7260000000006</v>
      </c>
      <c r="P124" s="4">
        <f t="shared" si="7"/>
        <v>33477.425999999999</v>
      </c>
    </row>
    <row r="125" spans="1:16" x14ac:dyDescent="0.25">
      <c r="A125" s="5" t="s">
        <v>188</v>
      </c>
      <c r="B125" s="6">
        <v>45543</v>
      </c>
      <c r="C125" s="5" t="s">
        <v>24</v>
      </c>
      <c r="D125" s="5" t="s">
        <v>25</v>
      </c>
      <c r="E125" s="5" t="s">
        <v>29</v>
      </c>
      <c r="F125" s="5" t="s">
        <v>41</v>
      </c>
      <c r="G125" s="5" t="s">
        <v>27</v>
      </c>
      <c r="H125" s="5">
        <v>26</v>
      </c>
      <c r="I125" s="7">
        <v>858.28</v>
      </c>
      <c r="J125" s="5">
        <v>0</v>
      </c>
      <c r="K125" s="5">
        <v>18</v>
      </c>
      <c r="L125" s="5" t="s">
        <v>49</v>
      </c>
      <c r="M125" s="7">
        <f t="shared" si="4"/>
        <v>22315.279999999999</v>
      </c>
      <c r="N125" s="7">
        <f t="shared" si="5"/>
        <v>0</v>
      </c>
      <c r="O125" s="7">
        <f t="shared" si="6"/>
        <v>4016.7503999999999</v>
      </c>
      <c r="P125" s="7">
        <f t="shared" si="7"/>
        <v>26332.0304</v>
      </c>
    </row>
    <row r="126" spans="1:16" x14ac:dyDescent="0.25">
      <c r="A126" s="2" t="s">
        <v>189</v>
      </c>
      <c r="B126" s="3">
        <v>45591</v>
      </c>
      <c r="C126" s="2" t="s">
        <v>59</v>
      </c>
      <c r="D126" s="2" t="s">
        <v>64</v>
      </c>
      <c r="E126" s="2" t="s">
        <v>35</v>
      </c>
      <c r="F126" s="2" t="s">
        <v>82</v>
      </c>
      <c r="G126" s="2" t="s">
        <v>21</v>
      </c>
      <c r="H126" s="2">
        <v>9</v>
      </c>
      <c r="I126" s="4">
        <v>557.28</v>
      </c>
      <c r="J126" s="2">
        <v>20</v>
      </c>
      <c r="K126" s="2">
        <v>18</v>
      </c>
      <c r="L126" s="2" t="s">
        <v>22</v>
      </c>
      <c r="M126" s="4">
        <f t="shared" si="4"/>
        <v>5015.5199999999995</v>
      </c>
      <c r="N126" s="4">
        <f t="shared" si="5"/>
        <v>1003.1039999999999</v>
      </c>
      <c r="O126" s="4">
        <f t="shared" si="6"/>
        <v>722.23487999999998</v>
      </c>
      <c r="P126" s="4">
        <f t="shared" si="7"/>
        <v>4734.6508799999992</v>
      </c>
    </row>
    <row r="127" spans="1:16" x14ac:dyDescent="0.25">
      <c r="A127" s="5" t="s">
        <v>190</v>
      </c>
      <c r="B127" s="6">
        <v>45350</v>
      </c>
      <c r="C127" s="5" t="s">
        <v>24</v>
      </c>
      <c r="D127" s="5" t="s">
        <v>43</v>
      </c>
      <c r="E127" s="5" t="s">
        <v>29</v>
      </c>
      <c r="F127" s="5" t="s">
        <v>41</v>
      </c>
      <c r="G127" s="5" t="s">
        <v>31</v>
      </c>
      <c r="H127" s="5">
        <v>39</v>
      </c>
      <c r="I127" s="7">
        <v>866.1</v>
      </c>
      <c r="J127" s="5">
        <v>20</v>
      </c>
      <c r="K127" s="5">
        <v>18</v>
      </c>
      <c r="L127" s="5" t="s">
        <v>32</v>
      </c>
      <c r="M127" s="7">
        <f t="shared" si="4"/>
        <v>33777.9</v>
      </c>
      <c r="N127" s="7">
        <f t="shared" si="5"/>
        <v>6755.58</v>
      </c>
      <c r="O127" s="7">
        <f t="shared" si="6"/>
        <v>4864.0176000000001</v>
      </c>
      <c r="P127" s="7">
        <f t="shared" si="7"/>
        <v>31886.337599999999</v>
      </c>
    </row>
    <row r="128" spans="1:16" x14ac:dyDescent="0.25">
      <c r="A128" s="2" t="s">
        <v>191</v>
      </c>
      <c r="B128" s="3">
        <v>45504</v>
      </c>
      <c r="C128" s="2" t="s">
        <v>24</v>
      </c>
      <c r="D128" s="2" t="s">
        <v>52</v>
      </c>
      <c r="E128" s="2" t="s">
        <v>29</v>
      </c>
      <c r="F128" s="2" t="s">
        <v>30</v>
      </c>
      <c r="G128" s="2" t="s">
        <v>21</v>
      </c>
      <c r="H128" s="2">
        <v>22</v>
      </c>
      <c r="I128" s="4">
        <v>1656.56</v>
      </c>
      <c r="J128" s="2">
        <v>10</v>
      </c>
      <c r="K128" s="2">
        <v>18</v>
      </c>
      <c r="L128" s="2" t="s">
        <v>49</v>
      </c>
      <c r="M128" s="4">
        <f t="shared" si="4"/>
        <v>36444.32</v>
      </c>
      <c r="N128" s="4">
        <f t="shared" si="5"/>
        <v>3644.4320000000002</v>
      </c>
      <c r="O128" s="4">
        <f t="shared" si="6"/>
        <v>5903.9798399999991</v>
      </c>
      <c r="P128" s="4">
        <f t="shared" si="7"/>
        <v>38703.867839999999</v>
      </c>
    </row>
    <row r="129" spans="1:16" x14ac:dyDescent="0.25">
      <c r="A129" s="5" t="s">
        <v>192</v>
      </c>
      <c r="B129" s="6">
        <v>45326</v>
      </c>
      <c r="C129" s="5" t="s">
        <v>24</v>
      </c>
      <c r="D129" s="5" t="s">
        <v>64</v>
      </c>
      <c r="E129" s="5" t="s">
        <v>19</v>
      </c>
      <c r="F129" s="5" t="s">
        <v>62</v>
      </c>
      <c r="G129" s="5" t="s">
        <v>55</v>
      </c>
      <c r="H129" s="5">
        <v>10</v>
      </c>
      <c r="I129" s="7">
        <v>1376.77</v>
      </c>
      <c r="J129" s="5">
        <v>10</v>
      </c>
      <c r="K129" s="5">
        <v>18</v>
      </c>
      <c r="L129" s="5" t="s">
        <v>22</v>
      </c>
      <c r="M129" s="7">
        <f t="shared" si="4"/>
        <v>13767.7</v>
      </c>
      <c r="N129" s="7">
        <f t="shared" si="5"/>
        <v>1376.77</v>
      </c>
      <c r="O129" s="7">
        <f t="shared" si="6"/>
        <v>2230.3674000000001</v>
      </c>
      <c r="P129" s="7">
        <f t="shared" si="7"/>
        <v>14621.297399999999</v>
      </c>
    </row>
    <row r="130" spans="1:16" x14ac:dyDescent="0.25">
      <c r="A130" s="2" t="s">
        <v>193</v>
      </c>
      <c r="B130" s="3">
        <v>45579</v>
      </c>
      <c r="C130" s="2" t="s">
        <v>59</v>
      </c>
      <c r="D130" s="2" t="s">
        <v>54</v>
      </c>
      <c r="E130" s="2" t="s">
        <v>19</v>
      </c>
      <c r="F130" s="2" t="s">
        <v>20</v>
      </c>
      <c r="G130" s="2" t="s">
        <v>27</v>
      </c>
      <c r="H130" s="2">
        <v>9</v>
      </c>
      <c r="I130" s="4">
        <v>1117.18</v>
      </c>
      <c r="J130" s="2">
        <v>15</v>
      </c>
      <c r="K130" s="2">
        <v>18</v>
      </c>
      <c r="L130" s="2" t="s">
        <v>22</v>
      </c>
      <c r="M130" s="4">
        <f t="shared" ref="M130:M193" si="8">H130*I130</f>
        <v>10054.620000000001</v>
      </c>
      <c r="N130" s="4">
        <f t="shared" ref="N130:N193" si="9">M130*J130/100</f>
        <v>1508.1930000000002</v>
      </c>
      <c r="O130" s="4">
        <f t="shared" ref="O130:O193" si="10">(M130-N130)*K130/100</f>
        <v>1538.3568599999999</v>
      </c>
      <c r="P130" s="4">
        <f t="shared" ref="P130:P193" si="11">M130-N130+O130</f>
        <v>10084.78386</v>
      </c>
    </row>
    <row r="131" spans="1:16" x14ac:dyDescent="0.25">
      <c r="A131" s="5" t="s">
        <v>194</v>
      </c>
      <c r="B131" s="6">
        <v>45599</v>
      </c>
      <c r="C131" s="5" t="s">
        <v>59</v>
      </c>
      <c r="D131" s="5" t="s">
        <v>54</v>
      </c>
      <c r="E131" s="5" t="s">
        <v>29</v>
      </c>
      <c r="F131" s="5" t="s">
        <v>41</v>
      </c>
      <c r="G131" s="5" t="s">
        <v>55</v>
      </c>
      <c r="H131" s="5">
        <v>47</v>
      </c>
      <c r="I131" s="7">
        <v>112.38</v>
      </c>
      <c r="J131" s="5">
        <v>5</v>
      </c>
      <c r="K131" s="5">
        <v>18</v>
      </c>
      <c r="L131" s="5" t="s">
        <v>49</v>
      </c>
      <c r="M131" s="7">
        <f t="shared" si="8"/>
        <v>5281.86</v>
      </c>
      <c r="N131" s="7">
        <f t="shared" si="9"/>
        <v>264.09300000000002</v>
      </c>
      <c r="O131" s="7">
        <f t="shared" si="10"/>
        <v>903.19805999999994</v>
      </c>
      <c r="P131" s="7">
        <f t="shared" si="11"/>
        <v>5920.9650599999995</v>
      </c>
    </row>
    <row r="132" spans="1:16" x14ac:dyDescent="0.25">
      <c r="A132" s="2" t="s">
        <v>195</v>
      </c>
      <c r="B132" s="3">
        <v>45576</v>
      </c>
      <c r="C132" s="2" t="s">
        <v>59</v>
      </c>
      <c r="D132" s="2" t="s">
        <v>18</v>
      </c>
      <c r="E132" s="2" t="s">
        <v>38</v>
      </c>
      <c r="F132" s="2" t="s">
        <v>135</v>
      </c>
      <c r="G132" s="2" t="s">
        <v>21</v>
      </c>
      <c r="H132" s="2">
        <v>15</v>
      </c>
      <c r="I132" s="4">
        <v>1696.08</v>
      </c>
      <c r="J132" s="2">
        <v>5</v>
      </c>
      <c r="K132" s="2">
        <v>18</v>
      </c>
      <c r="L132" s="2" t="s">
        <v>49</v>
      </c>
      <c r="M132" s="4">
        <f t="shared" si="8"/>
        <v>25441.199999999997</v>
      </c>
      <c r="N132" s="4">
        <f t="shared" si="9"/>
        <v>1272.06</v>
      </c>
      <c r="O132" s="4">
        <f t="shared" si="10"/>
        <v>4350.4451999999992</v>
      </c>
      <c r="P132" s="4">
        <f t="shared" si="11"/>
        <v>28519.585199999994</v>
      </c>
    </row>
    <row r="133" spans="1:16" x14ac:dyDescent="0.25">
      <c r="A133" s="5" t="s">
        <v>196</v>
      </c>
      <c r="B133" s="6">
        <v>45637</v>
      </c>
      <c r="C133" s="5" t="s">
        <v>17</v>
      </c>
      <c r="D133" s="5" t="s">
        <v>18</v>
      </c>
      <c r="E133" s="5" t="s">
        <v>38</v>
      </c>
      <c r="F133" s="5" t="s">
        <v>48</v>
      </c>
      <c r="G133" s="5" t="s">
        <v>31</v>
      </c>
      <c r="H133" s="5">
        <v>50</v>
      </c>
      <c r="I133" s="7">
        <v>1638.67</v>
      </c>
      <c r="J133" s="5">
        <v>15</v>
      </c>
      <c r="K133" s="5">
        <v>18</v>
      </c>
      <c r="L133" s="5" t="s">
        <v>32</v>
      </c>
      <c r="M133" s="7">
        <f t="shared" si="8"/>
        <v>81933.5</v>
      </c>
      <c r="N133" s="7">
        <f t="shared" si="9"/>
        <v>12290.025</v>
      </c>
      <c r="O133" s="7">
        <f t="shared" si="10"/>
        <v>12535.825500000001</v>
      </c>
      <c r="P133" s="7">
        <f t="shared" si="11"/>
        <v>82179.300500000012</v>
      </c>
    </row>
    <row r="134" spans="1:16" x14ac:dyDescent="0.25">
      <c r="A134" s="2" t="s">
        <v>197</v>
      </c>
      <c r="B134" s="3">
        <v>45471</v>
      </c>
      <c r="C134" s="2" t="s">
        <v>17</v>
      </c>
      <c r="D134" s="2" t="s">
        <v>25</v>
      </c>
      <c r="E134" s="2" t="s">
        <v>29</v>
      </c>
      <c r="F134" s="2" t="s">
        <v>80</v>
      </c>
      <c r="G134" s="2" t="s">
        <v>21</v>
      </c>
      <c r="H134" s="2">
        <v>45</v>
      </c>
      <c r="I134" s="4">
        <v>1527.19</v>
      </c>
      <c r="J134" s="2">
        <v>5</v>
      </c>
      <c r="K134" s="2">
        <v>18</v>
      </c>
      <c r="L134" s="2" t="s">
        <v>22</v>
      </c>
      <c r="M134" s="4">
        <f t="shared" si="8"/>
        <v>68723.55</v>
      </c>
      <c r="N134" s="4">
        <f t="shared" si="9"/>
        <v>3436.1774999999998</v>
      </c>
      <c r="O134" s="4">
        <f t="shared" si="10"/>
        <v>11751.727050000001</v>
      </c>
      <c r="P134" s="4">
        <f t="shared" si="11"/>
        <v>77039.099550000014</v>
      </c>
    </row>
    <row r="135" spans="1:16" x14ac:dyDescent="0.25">
      <c r="A135" s="5" t="s">
        <v>198</v>
      </c>
      <c r="B135" s="6">
        <v>45338</v>
      </c>
      <c r="C135" s="5" t="s">
        <v>47</v>
      </c>
      <c r="D135" s="5" t="s">
        <v>54</v>
      </c>
      <c r="E135" s="5" t="s">
        <v>19</v>
      </c>
      <c r="F135" s="5" t="s">
        <v>57</v>
      </c>
      <c r="G135" s="5" t="s">
        <v>27</v>
      </c>
      <c r="H135" s="5">
        <v>48</v>
      </c>
      <c r="I135" s="7">
        <v>1270.01</v>
      </c>
      <c r="J135" s="5">
        <v>0</v>
      </c>
      <c r="K135" s="5">
        <v>18</v>
      </c>
      <c r="L135" s="5" t="s">
        <v>22</v>
      </c>
      <c r="M135" s="7">
        <f t="shared" si="8"/>
        <v>60960.479999999996</v>
      </c>
      <c r="N135" s="7">
        <f t="shared" si="9"/>
        <v>0</v>
      </c>
      <c r="O135" s="7">
        <f t="shared" si="10"/>
        <v>10972.886399999999</v>
      </c>
      <c r="P135" s="7">
        <f t="shared" si="11"/>
        <v>71933.366399999999</v>
      </c>
    </row>
    <row r="136" spans="1:16" x14ac:dyDescent="0.25">
      <c r="A136" s="2" t="s">
        <v>199</v>
      </c>
      <c r="B136" s="3">
        <v>45458</v>
      </c>
      <c r="C136" s="2" t="s">
        <v>24</v>
      </c>
      <c r="D136" s="2" t="s">
        <v>54</v>
      </c>
      <c r="E136" s="2" t="s">
        <v>29</v>
      </c>
      <c r="F136" s="2" t="s">
        <v>30</v>
      </c>
      <c r="G136" s="2" t="s">
        <v>31</v>
      </c>
      <c r="H136" s="2">
        <v>11</v>
      </c>
      <c r="I136" s="4">
        <v>746.41</v>
      </c>
      <c r="J136" s="2">
        <v>20</v>
      </c>
      <c r="K136" s="2">
        <v>18</v>
      </c>
      <c r="L136" s="2" t="s">
        <v>22</v>
      </c>
      <c r="M136" s="4">
        <f t="shared" si="8"/>
        <v>8210.51</v>
      </c>
      <c r="N136" s="4">
        <f t="shared" si="9"/>
        <v>1642.1020000000001</v>
      </c>
      <c r="O136" s="4">
        <f t="shared" si="10"/>
        <v>1182.3134400000001</v>
      </c>
      <c r="P136" s="4">
        <f t="shared" si="11"/>
        <v>7750.7214400000003</v>
      </c>
    </row>
    <row r="137" spans="1:16" x14ac:dyDescent="0.25">
      <c r="A137" s="5" t="s">
        <v>200</v>
      </c>
      <c r="B137" s="6">
        <v>45333</v>
      </c>
      <c r="C137" s="5" t="s">
        <v>59</v>
      </c>
      <c r="D137" s="5" t="s">
        <v>25</v>
      </c>
      <c r="E137" s="5" t="s">
        <v>29</v>
      </c>
      <c r="F137" s="5" t="s">
        <v>65</v>
      </c>
      <c r="G137" s="5" t="s">
        <v>21</v>
      </c>
      <c r="H137" s="5">
        <v>49</v>
      </c>
      <c r="I137" s="7">
        <v>1239.5</v>
      </c>
      <c r="J137" s="5">
        <v>20</v>
      </c>
      <c r="K137" s="5">
        <v>18</v>
      </c>
      <c r="L137" s="5" t="s">
        <v>22</v>
      </c>
      <c r="M137" s="7">
        <f t="shared" si="8"/>
        <v>60735.5</v>
      </c>
      <c r="N137" s="7">
        <f t="shared" si="9"/>
        <v>12147.1</v>
      </c>
      <c r="O137" s="7">
        <f t="shared" si="10"/>
        <v>8745.9120000000003</v>
      </c>
      <c r="P137" s="7">
        <f t="shared" si="11"/>
        <v>57334.312000000005</v>
      </c>
    </row>
    <row r="138" spans="1:16" x14ac:dyDescent="0.25">
      <c r="A138" s="2" t="s">
        <v>201</v>
      </c>
      <c r="B138" s="3">
        <v>45350</v>
      </c>
      <c r="C138" s="2" t="s">
        <v>24</v>
      </c>
      <c r="D138" s="2" t="s">
        <v>52</v>
      </c>
      <c r="E138" s="2" t="s">
        <v>38</v>
      </c>
      <c r="F138" s="2" t="s">
        <v>70</v>
      </c>
      <c r="G138" s="2" t="s">
        <v>31</v>
      </c>
      <c r="H138" s="2">
        <v>18</v>
      </c>
      <c r="I138" s="4">
        <v>438.98</v>
      </c>
      <c r="J138" s="2">
        <v>15</v>
      </c>
      <c r="K138" s="2">
        <v>18</v>
      </c>
      <c r="L138" s="2" t="s">
        <v>49</v>
      </c>
      <c r="M138" s="4">
        <f t="shared" si="8"/>
        <v>7901.64</v>
      </c>
      <c r="N138" s="4">
        <f t="shared" si="9"/>
        <v>1185.2460000000001</v>
      </c>
      <c r="O138" s="4">
        <f t="shared" si="10"/>
        <v>1208.95092</v>
      </c>
      <c r="P138" s="4">
        <f t="shared" si="11"/>
        <v>7925.3449200000005</v>
      </c>
    </row>
    <row r="139" spans="1:16" x14ac:dyDescent="0.25">
      <c r="A139" s="5" t="s">
        <v>202</v>
      </c>
      <c r="B139" s="6">
        <v>45494</v>
      </c>
      <c r="C139" s="5" t="s">
        <v>59</v>
      </c>
      <c r="D139" s="5" t="s">
        <v>43</v>
      </c>
      <c r="E139" s="5" t="s">
        <v>38</v>
      </c>
      <c r="F139" s="5" t="s">
        <v>70</v>
      </c>
      <c r="G139" s="5" t="s">
        <v>31</v>
      </c>
      <c r="H139" s="5">
        <v>43</v>
      </c>
      <c r="I139" s="7">
        <v>623.75</v>
      </c>
      <c r="J139" s="5">
        <v>0</v>
      </c>
      <c r="K139" s="5">
        <v>18</v>
      </c>
      <c r="L139" s="5" t="s">
        <v>32</v>
      </c>
      <c r="M139" s="7">
        <f t="shared" si="8"/>
        <v>26821.25</v>
      </c>
      <c r="N139" s="7">
        <f t="shared" si="9"/>
        <v>0</v>
      </c>
      <c r="O139" s="7">
        <f t="shared" si="10"/>
        <v>4827.8249999999998</v>
      </c>
      <c r="P139" s="7">
        <f t="shared" si="11"/>
        <v>31649.075000000001</v>
      </c>
    </row>
    <row r="140" spans="1:16" x14ac:dyDescent="0.25">
      <c r="A140" s="2" t="s">
        <v>203</v>
      </c>
      <c r="B140" s="3">
        <v>45440</v>
      </c>
      <c r="C140" s="2" t="s">
        <v>59</v>
      </c>
      <c r="D140" s="2" t="s">
        <v>18</v>
      </c>
      <c r="E140" s="2" t="s">
        <v>29</v>
      </c>
      <c r="F140" s="2" t="s">
        <v>80</v>
      </c>
      <c r="G140" s="2" t="s">
        <v>55</v>
      </c>
      <c r="H140" s="2">
        <v>50</v>
      </c>
      <c r="I140" s="4">
        <v>283.10000000000002</v>
      </c>
      <c r="J140" s="2">
        <v>5</v>
      </c>
      <c r="K140" s="2">
        <v>18</v>
      </c>
      <c r="L140" s="2" t="s">
        <v>22</v>
      </c>
      <c r="M140" s="4">
        <f t="shared" si="8"/>
        <v>14155.000000000002</v>
      </c>
      <c r="N140" s="4">
        <f t="shared" si="9"/>
        <v>707.75000000000011</v>
      </c>
      <c r="O140" s="4">
        <f t="shared" si="10"/>
        <v>2420.5050000000001</v>
      </c>
      <c r="P140" s="4">
        <f t="shared" si="11"/>
        <v>15867.755000000001</v>
      </c>
    </row>
    <row r="141" spans="1:16" x14ac:dyDescent="0.25">
      <c r="A141" s="5" t="s">
        <v>204</v>
      </c>
      <c r="B141" s="6">
        <v>45409</v>
      </c>
      <c r="C141" s="5" t="s">
        <v>59</v>
      </c>
      <c r="D141" s="5" t="s">
        <v>52</v>
      </c>
      <c r="E141" s="5" t="s">
        <v>38</v>
      </c>
      <c r="F141" s="5" t="s">
        <v>48</v>
      </c>
      <c r="G141" s="5" t="s">
        <v>31</v>
      </c>
      <c r="H141" s="5">
        <v>9</v>
      </c>
      <c r="I141" s="7">
        <v>766.61</v>
      </c>
      <c r="J141" s="5">
        <v>20</v>
      </c>
      <c r="K141" s="5">
        <v>18</v>
      </c>
      <c r="L141" s="5" t="s">
        <v>22</v>
      </c>
      <c r="M141" s="7">
        <f t="shared" si="8"/>
        <v>6899.49</v>
      </c>
      <c r="N141" s="7">
        <f t="shared" si="9"/>
        <v>1379.8979999999999</v>
      </c>
      <c r="O141" s="7">
        <f t="shared" si="10"/>
        <v>993.5265599999999</v>
      </c>
      <c r="P141" s="7">
        <f t="shared" si="11"/>
        <v>6513.1185599999999</v>
      </c>
    </row>
    <row r="142" spans="1:16" x14ac:dyDescent="0.25">
      <c r="A142" s="2" t="s">
        <v>205</v>
      </c>
      <c r="B142" s="3">
        <v>45452</v>
      </c>
      <c r="C142" s="2" t="s">
        <v>17</v>
      </c>
      <c r="D142" s="2" t="s">
        <v>60</v>
      </c>
      <c r="E142" s="2" t="s">
        <v>29</v>
      </c>
      <c r="F142" s="2" t="s">
        <v>65</v>
      </c>
      <c r="G142" s="2" t="s">
        <v>31</v>
      </c>
      <c r="H142" s="2">
        <v>28</v>
      </c>
      <c r="I142" s="4">
        <v>47.3</v>
      </c>
      <c r="J142" s="2">
        <v>0</v>
      </c>
      <c r="K142" s="2">
        <v>18</v>
      </c>
      <c r="L142" s="2" t="s">
        <v>22</v>
      </c>
      <c r="M142" s="4">
        <f t="shared" si="8"/>
        <v>1324.3999999999999</v>
      </c>
      <c r="N142" s="4">
        <f t="shared" si="9"/>
        <v>0</v>
      </c>
      <c r="O142" s="4">
        <f t="shared" si="10"/>
        <v>238.39199999999997</v>
      </c>
      <c r="P142" s="4">
        <f t="shared" si="11"/>
        <v>1562.7919999999999</v>
      </c>
    </row>
    <row r="143" spans="1:16" x14ac:dyDescent="0.25">
      <c r="A143" s="5" t="s">
        <v>206</v>
      </c>
      <c r="B143" s="6">
        <v>45379</v>
      </c>
      <c r="C143" s="5" t="s">
        <v>24</v>
      </c>
      <c r="D143" s="5" t="s">
        <v>54</v>
      </c>
      <c r="E143" s="5" t="s">
        <v>29</v>
      </c>
      <c r="F143" s="5" t="s">
        <v>74</v>
      </c>
      <c r="G143" s="5" t="s">
        <v>55</v>
      </c>
      <c r="H143" s="5">
        <v>26</v>
      </c>
      <c r="I143" s="7">
        <v>51.5</v>
      </c>
      <c r="J143" s="5">
        <v>5</v>
      </c>
      <c r="K143" s="5">
        <v>18</v>
      </c>
      <c r="L143" s="5" t="s">
        <v>22</v>
      </c>
      <c r="M143" s="7">
        <f t="shared" si="8"/>
        <v>1339</v>
      </c>
      <c r="N143" s="7">
        <f t="shared" si="9"/>
        <v>66.95</v>
      </c>
      <c r="O143" s="7">
        <f t="shared" si="10"/>
        <v>228.96899999999997</v>
      </c>
      <c r="P143" s="7">
        <f t="shared" si="11"/>
        <v>1501.019</v>
      </c>
    </row>
    <row r="144" spans="1:16" x14ac:dyDescent="0.25">
      <c r="A144" s="2" t="s">
        <v>207</v>
      </c>
      <c r="B144" s="3">
        <v>45560</v>
      </c>
      <c r="C144" s="2" t="s">
        <v>17</v>
      </c>
      <c r="D144" s="2" t="s">
        <v>60</v>
      </c>
      <c r="E144" s="2" t="s">
        <v>29</v>
      </c>
      <c r="F144" s="2" t="s">
        <v>74</v>
      </c>
      <c r="G144" s="2" t="s">
        <v>31</v>
      </c>
      <c r="H144" s="2">
        <v>16</v>
      </c>
      <c r="I144" s="4">
        <v>877</v>
      </c>
      <c r="J144" s="2">
        <v>10</v>
      </c>
      <c r="K144" s="2">
        <v>18</v>
      </c>
      <c r="L144" s="2" t="s">
        <v>22</v>
      </c>
      <c r="M144" s="4">
        <f t="shared" si="8"/>
        <v>14032</v>
      </c>
      <c r="N144" s="4">
        <f t="shared" si="9"/>
        <v>1403.2</v>
      </c>
      <c r="O144" s="4">
        <f t="shared" si="10"/>
        <v>2273.1839999999997</v>
      </c>
      <c r="P144" s="4">
        <f t="shared" si="11"/>
        <v>14901.983999999999</v>
      </c>
    </row>
    <row r="145" spans="1:16" x14ac:dyDescent="0.25">
      <c r="A145" s="5" t="s">
        <v>208</v>
      </c>
      <c r="B145" s="6">
        <v>45616</v>
      </c>
      <c r="C145" s="5" t="s">
        <v>17</v>
      </c>
      <c r="D145" s="5" t="s">
        <v>64</v>
      </c>
      <c r="E145" s="5" t="s">
        <v>19</v>
      </c>
      <c r="F145" s="5" t="s">
        <v>157</v>
      </c>
      <c r="G145" s="5" t="s">
        <v>21</v>
      </c>
      <c r="H145" s="5">
        <v>50</v>
      </c>
      <c r="I145" s="7">
        <v>344.58</v>
      </c>
      <c r="J145" s="5">
        <v>15</v>
      </c>
      <c r="K145" s="5">
        <v>18</v>
      </c>
      <c r="L145" s="5" t="s">
        <v>22</v>
      </c>
      <c r="M145" s="7">
        <f t="shared" si="8"/>
        <v>17229</v>
      </c>
      <c r="N145" s="7">
        <f t="shared" si="9"/>
        <v>2584.35</v>
      </c>
      <c r="O145" s="7">
        <f t="shared" si="10"/>
        <v>2636.0370000000003</v>
      </c>
      <c r="P145" s="7">
        <f t="shared" si="11"/>
        <v>17280.686999999998</v>
      </c>
    </row>
    <row r="146" spans="1:16" x14ac:dyDescent="0.25">
      <c r="A146" s="2" t="s">
        <v>209</v>
      </c>
      <c r="B146" s="3">
        <v>45393</v>
      </c>
      <c r="C146" s="2" t="s">
        <v>47</v>
      </c>
      <c r="D146" s="2" t="s">
        <v>64</v>
      </c>
      <c r="E146" s="2" t="s">
        <v>19</v>
      </c>
      <c r="F146" s="2" t="s">
        <v>26</v>
      </c>
      <c r="G146" s="2" t="s">
        <v>55</v>
      </c>
      <c r="H146" s="2">
        <v>16</v>
      </c>
      <c r="I146" s="4">
        <v>214.58</v>
      </c>
      <c r="J146" s="2">
        <v>5</v>
      </c>
      <c r="K146" s="2">
        <v>18</v>
      </c>
      <c r="L146" s="2" t="s">
        <v>22</v>
      </c>
      <c r="M146" s="4">
        <f t="shared" si="8"/>
        <v>3433.28</v>
      </c>
      <c r="N146" s="4">
        <f t="shared" si="9"/>
        <v>171.66400000000002</v>
      </c>
      <c r="O146" s="4">
        <f t="shared" si="10"/>
        <v>587.09088000000008</v>
      </c>
      <c r="P146" s="4">
        <f t="shared" si="11"/>
        <v>3848.7068800000002</v>
      </c>
    </row>
    <row r="147" spans="1:16" x14ac:dyDescent="0.25">
      <c r="A147" s="5" t="s">
        <v>210</v>
      </c>
      <c r="B147" s="6">
        <v>45521</v>
      </c>
      <c r="C147" s="5" t="s">
        <v>47</v>
      </c>
      <c r="D147" s="5" t="s">
        <v>60</v>
      </c>
      <c r="E147" s="5" t="s">
        <v>44</v>
      </c>
      <c r="F147" s="5" t="s">
        <v>141</v>
      </c>
      <c r="G147" s="5" t="s">
        <v>21</v>
      </c>
      <c r="H147" s="5">
        <v>30</v>
      </c>
      <c r="I147" s="7">
        <v>1511.35</v>
      </c>
      <c r="J147" s="5">
        <v>15</v>
      </c>
      <c r="K147" s="5">
        <v>18</v>
      </c>
      <c r="L147" s="5" t="s">
        <v>49</v>
      </c>
      <c r="M147" s="7">
        <f t="shared" si="8"/>
        <v>45340.5</v>
      </c>
      <c r="N147" s="7">
        <f t="shared" si="9"/>
        <v>6801.0749999999998</v>
      </c>
      <c r="O147" s="7">
        <f t="shared" si="10"/>
        <v>6937.0965000000006</v>
      </c>
      <c r="P147" s="7">
        <f t="shared" si="11"/>
        <v>45476.521500000003</v>
      </c>
    </row>
    <row r="148" spans="1:16" x14ac:dyDescent="0.25">
      <c r="A148" s="2" t="s">
        <v>211</v>
      </c>
      <c r="B148" s="3">
        <v>45447</v>
      </c>
      <c r="C148" s="2" t="s">
        <v>17</v>
      </c>
      <c r="D148" s="2" t="s">
        <v>64</v>
      </c>
      <c r="E148" s="2" t="s">
        <v>29</v>
      </c>
      <c r="F148" s="2" t="s">
        <v>65</v>
      </c>
      <c r="G148" s="2" t="s">
        <v>21</v>
      </c>
      <c r="H148" s="2">
        <v>5</v>
      </c>
      <c r="I148" s="4">
        <v>943.15</v>
      </c>
      <c r="J148" s="2">
        <v>20</v>
      </c>
      <c r="K148" s="2">
        <v>18</v>
      </c>
      <c r="L148" s="2" t="s">
        <v>49</v>
      </c>
      <c r="M148" s="4">
        <f t="shared" si="8"/>
        <v>4715.75</v>
      </c>
      <c r="N148" s="4">
        <f t="shared" si="9"/>
        <v>943.15</v>
      </c>
      <c r="O148" s="4">
        <f t="shared" si="10"/>
        <v>679.06799999999998</v>
      </c>
      <c r="P148" s="4">
        <f t="shared" si="11"/>
        <v>4451.6679999999997</v>
      </c>
    </row>
    <row r="149" spans="1:16" x14ac:dyDescent="0.25">
      <c r="A149" s="5" t="s">
        <v>212</v>
      </c>
      <c r="B149" s="6">
        <v>45480</v>
      </c>
      <c r="C149" s="5" t="s">
        <v>59</v>
      </c>
      <c r="D149" s="5" t="s">
        <v>64</v>
      </c>
      <c r="E149" s="5" t="s">
        <v>38</v>
      </c>
      <c r="F149" s="5" t="s">
        <v>39</v>
      </c>
      <c r="G149" s="5" t="s">
        <v>27</v>
      </c>
      <c r="H149" s="5">
        <v>30</v>
      </c>
      <c r="I149" s="7">
        <v>909.31</v>
      </c>
      <c r="J149" s="5">
        <v>0</v>
      </c>
      <c r="K149" s="5">
        <v>18</v>
      </c>
      <c r="L149" s="5" t="s">
        <v>22</v>
      </c>
      <c r="M149" s="7">
        <f t="shared" si="8"/>
        <v>27279.3</v>
      </c>
      <c r="N149" s="7">
        <f t="shared" si="9"/>
        <v>0</v>
      </c>
      <c r="O149" s="7">
        <f t="shared" si="10"/>
        <v>4910.2739999999994</v>
      </c>
      <c r="P149" s="7">
        <f t="shared" si="11"/>
        <v>32189.574000000001</v>
      </c>
    </row>
    <row r="150" spans="1:16" x14ac:dyDescent="0.25">
      <c r="A150" s="2" t="s">
        <v>213</v>
      </c>
      <c r="B150" s="3">
        <v>45313</v>
      </c>
      <c r="C150" s="2" t="s">
        <v>59</v>
      </c>
      <c r="D150" s="2" t="s">
        <v>54</v>
      </c>
      <c r="E150" s="2" t="s">
        <v>38</v>
      </c>
      <c r="F150" s="2" t="s">
        <v>48</v>
      </c>
      <c r="G150" s="2" t="s">
        <v>31</v>
      </c>
      <c r="H150" s="2">
        <v>36</v>
      </c>
      <c r="I150" s="4">
        <v>1908.92</v>
      </c>
      <c r="J150" s="2">
        <v>20</v>
      </c>
      <c r="K150" s="2">
        <v>18</v>
      </c>
      <c r="L150" s="2" t="s">
        <v>32</v>
      </c>
      <c r="M150" s="4">
        <f t="shared" si="8"/>
        <v>68721.119999999995</v>
      </c>
      <c r="N150" s="4">
        <f t="shared" si="9"/>
        <v>13744.223999999998</v>
      </c>
      <c r="O150" s="4">
        <f t="shared" si="10"/>
        <v>9895.8412799999987</v>
      </c>
      <c r="P150" s="4">
        <f t="shared" si="11"/>
        <v>64872.737279999994</v>
      </c>
    </row>
    <row r="151" spans="1:16" x14ac:dyDescent="0.25">
      <c r="A151" s="5" t="s">
        <v>214</v>
      </c>
      <c r="B151" s="6">
        <v>45344</v>
      </c>
      <c r="C151" s="5" t="s">
        <v>47</v>
      </c>
      <c r="D151" s="5" t="s">
        <v>64</v>
      </c>
      <c r="E151" s="5" t="s">
        <v>35</v>
      </c>
      <c r="F151" s="5" t="s">
        <v>68</v>
      </c>
      <c r="G151" s="5" t="s">
        <v>31</v>
      </c>
      <c r="H151" s="5">
        <v>10</v>
      </c>
      <c r="I151" s="7">
        <v>1915.87</v>
      </c>
      <c r="J151" s="5">
        <v>10</v>
      </c>
      <c r="K151" s="5">
        <v>18</v>
      </c>
      <c r="L151" s="5" t="s">
        <v>32</v>
      </c>
      <c r="M151" s="7">
        <f t="shared" si="8"/>
        <v>19158.699999999997</v>
      </c>
      <c r="N151" s="7">
        <f t="shared" si="9"/>
        <v>1915.8699999999997</v>
      </c>
      <c r="O151" s="7">
        <f t="shared" si="10"/>
        <v>3103.7093999999993</v>
      </c>
      <c r="P151" s="7">
        <f t="shared" si="11"/>
        <v>20346.539399999998</v>
      </c>
    </row>
    <row r="152" spans="1:16" x14ac:dyDescent="0.25">
      <c r="A152" s="2" t="s">
        <v>215</v>
      </c>
      <c r="B152" s="3">
        <v>45373</v>
      </c>
      <c r="C152" s="2" t="s">
        <v>47</v>
      </c>
      <c r="D152" s="2" t="s">
        <v>25</v>
      </c>
      <c r="E152" s="2" t="s">
        <v>38</v>
      </c>
      <c r="F152" s="2" t="s">
        <v>48</v>
      </c>
      <c r="G152" s="2" t="s">
        <v>21</v>
      </c>
      <c r="H152" s="2">
        <v>29</v>
      </c>
      <c r="I152" s="4">
        <v>1052.9000000000001</v>
      </c>
      <c r="J152" s="2">
        <v>15</v>
      </c>
      <c r="K152" s="2">
        <v>18</v>
      </c>
      <c r="L152" s="2" t="s">
        <v>49</v>
      </c>
      <c r="M152" s="4">
        <f t="shared" si="8"/>
        <v>30534.100000000002</v>
      </c>
      <c r="N152" s="4">
        <f t="shared" si="9"/>
        <v>4580.1150000000007</v>
      </c>
      <c r="O152" s="4">
        <f t="shared" si="10"/>
        <v>4671.7173000000003</v>
      </c>
      <c r="P152" s="4">
        <f t="shared" si="11"/>
        <v>30625.702300000001</v>
      </c>
    </row>
    <row r="153" spans="1:16" x14ac:dyDescent="0.25">
      <c r="A153" s="5" t="s">
        <v>216</v>
      </c>
      <c r="B153" s="6">
        <v>45623</v>
      </c>
      <c r="C153" s="5" t="s">
        <v>17</v>
      </c>
      <c r="D153" s="5" t="s">
        <v>54</v>
      </c>
      <c r="E153" s="5" t="s">
        <v>38</v>
      </c>
      <c r="F153" s="5" t="s">
        <v>135</v>
      </c>
      <c r="G153" s="5" t="s">
        <v>31</v>
      </c>
      <c r="H153" s="5">
        <v>44</v>
      </c>
      <c r="I153" s="7">
        <v>1199.79</v>
      </c>
      <c r="J153" s="5">
        <v>20</v>
      </c>
      <c r="K153" s="5">
        <v>18</v>
      </c>
      <c r="L153" s="5" t="s">
        <v>22</v>
      </c>
      <c r="M153" s="7">
        <f t="shared" si="8"/>
        <v>52790.759999999995</v>
      </c>
      <c r="N153" s="7">
        <f t="shared" si="9"/>
        <v>10558.152</v>
      </c>
      <c r="O153" s="7">
        <f t="shared" si="10"/>
        <v>7601.8694399999986</v>
      </c>
      <c r="P153" s="7">
        <f t="shared" si="11"/>
        <v>49834.477439999988</v>
      </c>
    </row>
    <row r="154" spans="1:16" x14ac:dyDescent="0.25">
      <c r="A154" s="2" t="s">
        <v>217</v>
      </c>
      <c r="B154" s="3">
        <v>45600</v>
      </c>
      <c r="C154" s="2" t="s">
        <v>17</v>
      </c>
      <c r="D154" s="2" t="s">
        <v>60</v>
      </c>
      <c r="E154" s="2" t="s">
        <v>38</v>
      </c>
      <c r="F154" s="2" t="s">
        <v>48</v>
      </c>
      <c r="G154" s="2" t="s">
        <v>31</v>
      </c>
      <c r="H154" s="2">
        <v>17</v>
      </c>
      <c r="I154" s="4">
        <v>1450.23</v>
      </c>
      <c r="J154" s="2">
        <v>20</v>
      </c>
      <c r="K154" s="2">
        <v>18</v>
      </c>
      <c r="L154" s="2" t="s">
        <v>22</v>
      </c>
      <c r="M154" s="4">
        <f t="shared" si="8"/>
        <v>24653.91</v>
      </c>
      <c r="N154" s="4">
        <f t="shared" si="9"/>
        <v>4930.7820000000002</v>
      </c>
      <c r="O154" s="4">
        <f t="shared" si="10"/>
        <v>3550.1630399999999</v>
      </c>
      <c r="P154" s="4">
        <f t="shared" si="11"/>
        <v>23273.29104</v>
      </c>
    </row>
    <row r="155" spans="1:16" x14ac:dyDescent="0.25">
      <c r="A155" s="5" t="s">
        <v>218</v>
      </c>
      <c r="B155" s="6">
        <v>45358</v>
      </c>
      <c r="C155" s="5" t="s">
        <v>59</v>
      </c>
      <c r="D155" s="5" t="s">
        <v>34</v>
      </c>
      <c r="E155" s="5" t="s">
        <v>44</v>
      </c>
      <c r="F155" s="5" t="s">
        <v>93</v>
      </c>
      <c r="G155" s="5" t="s">
        <v>55</v>
      </c>
      <c r="H155" s="5">
        <v>42</v>
      </c>
      <c r="I155" s="7">
        <v>1399.98</v>
      </c>
      <c r="J155" s="5">
        <v>10</v>
      </c>
      <c r="K155" s="5">
        <v>18</v>
      </c>
      <c r="L155" s="5" t="s">
        <v>22</v>
      </c>
      <c r="M155" s="7">
        <f t="shared" si="8"/>
        <v>58799.16</v>
      </c>
      <c r="N155" s="7">
        <f t="shared" si="9"/>
        <v>5879.9160000000011</v>
      </c>
      <c r="O155" s="7">
        <f t="shared" si="10"/>
        <v>9525.463920000002</v>
      </c>
      <c r="P155" s="7">
        <f t="shared" si="11"/>
        <v>62444.707920000008</v>
      </c>
    </row>
    <row r="156" spans="1:16" x14ac:dyDescent="0.25">
      <c r="A156" s="2" t="s">
        <v>219</v>
      </c>
      <c r="B156" s="3">
        <v>45642</v>
      </c>
      <c r="C156" s="2" t="s">
        <v>17</v>
      </c>
      <c r="D156" s="2" t="s">
        <v>54</v>
      </c>
      <c r="E156" s="2" t="s">
        <v>29</v>
      </c>
      <c r="F156" s="2" t="s">
        <v>80</v>
      </c>
      <c r="G156" s="2" t="s">
        <v>55</v>
      </c>
      <c r="H156" s="2">
        <v>43</v>
      </c>
      <c r="I156" s="4">
        <v>1408.63</v>
      </c>
      <c r="J156" s="2">
        <v>20</v>
      </c>
      <c r="K156" s="2">
        <v>18</v>
      </c>
      <c r="L156" s="2" t="s">
        <v>22</v>
      </c>
      <c r="M156" s="4">
        <f t="shared" si="8"/>
        <v>60571.090000000004</v>
      </c>
      <c r="N156" s="4">
        <f t="shared" si="9"/>
        <v>12114.218000000001</v>
      </c>
      <c r="O156" s="4">
        <f t="shared" si="10"/>
        <v>8722.2369600000002</v>
      </c>
      <c r="P156" s="4">
        <f t="shared" si="11"/>
        <v>57179.108960000005</v>
      </c>
    </row>
    <row r="157" spans="1:16" x14ac:dyDescent="0.25">
      <c r="A157" s="5" t="s">
        <v>220</v>
      </c>
      <c r="B157" s="6">
        <v>45466</v>
      </c>
      <c r="C157" s="5" t="s">
        <v>24</v>
      </c>
      <c r="D157" s="5" t="s">
        <v>64</v>
      </c>
      <c r="E157" s="5" t="s">
        <v>29</v>
      </c>
      <c r="F157" s="5" t="s">
        <v>80</v>
      </c>
      <c r="G157" s="5" t="s">
        <v>27</v>
      </c>
      <c r="H157" s="5">
        <v>20</v>
      </c>
      <c r="I157" s="7">
        <v>368.72</v>
      </c>
      <c r="J157" s="5">
        <v>0</v>
      </c>
      <c r="K157" s="5">
        <v>18</v>
      </c>
      <c r="L157" s="5" t="s">
        <v>22</v>
      </c>
      <c r="M157" s="7">
        <f t="shared" si="8"/>
        <v>7374.4000000000005</v>
      </c>
      <c r="N157" s="7">
        <f t="shared" si="9"/>
        <v>0</v>
      </c>
      <c r="O157" s="7">
        <f t="shared" si="10"/>
        <v>1327.3920000000001</v>
      </c>
      <c r="P157" s="7">
        <f t="shared" si="11"/>
        <v>8701.7920000000013</v>
      </c>
    </row>
    <row r="158" spans="1:16" x14ac:dyDescent="0.25">
      <c r="A158" s="2" t="s">
        <v>221</v>
      </c>
      <c r="B158" s="3">
        <v>45551</v>
      </c>
      <c r="C158" s="2" t="s">
        <v>47</v>
      </c>
      <c r="D158" s="2" t="s">
        <v>34</v>
      </c>
      <c r="E158" s="2" t="s">
        <v>35</v>
      </c>
      <c r="F158" s="2" t="s">
        <v>88</v>
      </c>
      <c r="G158" s="2" t="s">
        <v>21</v>
      </c>
      <c r="H158" s="2">
        <v>19</v>
      </c>
      <c r="I158" s="4">
        <v>1690.41</v>
      </c>
      <c r="J158" s="2">
        <v>0</v>
      </c>
      <c r="K158" s="2">
        <v>18</v>
      </c>
      <c r="L158" s="2" t="s">
        <v>22</v>
      </c>
      <c r="M158" s="4">
        <f t="shared" si="8"/>
        <v>32117.79</v>
      </c>
      <c r="N158" s="4">
        <f t="shared" si="9"/>
        <v>0</v>
      </c>
      <c r="O158" s="4">
        <f t="shared" si="10"/>
        <v>5781.2021999999997</v>
      </c>
      <c r="P158" s="4">
        <f t="shared" si="11"/>
        <v>37898.992200000001</v>
      </c>
    </row>
    <row r="159" spans="1:16" x14ac:dyDescent="0.25">
      <c r="A159" s="5" t="s">
        <v>222</v>
      </c>
      <c r="B159" s="6">
        <v>45646</v>
      </c>
      <c r="C159" s="5" t="s">
        <v>59</v>
      </c>
      <c r="D159" s="5" t="s">
        <v>64</v>
      </c>
      <c r="E159" s="5" t="s">
        <v>29</v>
      </c>
      <c r="F159" s="5" t="s">
        <v>65</v>
      </c>
      <c r="G159" s="5" t="s">
        <v>21</v>
      </c>
      <c r="H159" s="5">
        <v>25</v>
      </c>
      <c r="I159" s="7">
        <v>316.95999999999998</v>
      </c>
      <c r="J159" s="5">
        <v>0</v>
      </c>
      <c r="K159" s="5">
        <v>18</v>
      </c>
      <c r="L159" s="5" t="s">
        <v>32</v>
      </c>
      <c r="M159" s="7">
        <f t="shared" si="8"/>
        <v>7923.9999999999991</v>
      </c>
      <c r="N159" s="7">
        <f t="shared" si="9"/>
        <v>0</v>
      </c>
      <c r="O159" s="7">
        <f t="shared" si="10"/>
        <v>1426.3199999999997</v>
      </c>
      <c r="P159" s="7">
        <f t="shared" si="11"/>
        <v>9350.32</v>
      </c>
    </row>
    <row r="160" spans="1:16" x14ac:dyDescent="0.25">
      <c r="A160" s="2" t="s">
        <v>223</v>
      </c>
      <c r="B160" s="3">
        <v>45604</v>
      </c>
      <c r="C160" s="2" t="s">
        <v>24</v>
      </c>
      <c r="D160" s="2" t="s">
        <v>25</v>
      </c>
      <c r="E160" s="2" t="s">
        <v>29</v>
      </c>
      <c r="F160" s="2" t="s">
        <v>30</v>
      </c>
      <c r="G160" s="2" t="s">
        <v>31</v>
      </c>
      <c r="H160" s="2">
        <v>44</v>
      </c>
      <c r="I160" s="4">
        <v>1441.98</v>
      </c>
      <c r="J160" s="2">
        <v>10</v>
      </c>
      <c r="K160" s="2">
        <v>18</v>
      </c>
      <c r="L160" s="2" t="s">
        <v>22</v>
      </c>
      <c r="M160" s="4">
        <f t="shared" si="8"/>
        <v>63447.12</v>
      </c>
      <c r="N160" s="4">
        <f t="shared" si="9"/>
        <v>6344.7120000000004</v>
      </c>
      <c r="O160" s="4">
        <f t="shared" si="10"/>
        <v>10278.433440000001</v>
      </c>
      <c r="P160" s="4">
        <f t="shared" si="11"/>
        <v>67380.841440000004</v>
      </c>
    </row>
    <row r="161" spans="1:16" x14ac:dyDescent="0.25">
      <c r="A161" s="5" t="s">
        <v>224</v>
      </c>
      <c r="B161" s="6">
        <v>45517</v>
      </c>
      <c r="C161" s="5" t="s">
        <v>47</v>
      </c>
      <c r="D161" s="5" t="s">
        <v>18</v>
      </c>
      <c r="E161" s="5" t="s">
        <v>38</v>
      </c>
      <c r="F161" s="5" t="s">
        <v>70</v>
      </c>
      <c r="G161" s="5" t="s">
        <v>55</v>
      </c>
      <c r="H161" s="5">
        <v>13</v>
      </c>
      <c r="I161" s="7">
        <v>742</v>
      </c>
      <c r="J161" s="5">
        <v>15</v>
      </c>
      <c r="K161" s="5">
        <v>18</v>
      </c>
      <c r="L161" s="5" t="s">
        <v>49</v>
      </c>
      <c r="M161" s="7">
        <f t="shared" si="8"/>
        <v>9646</v>
      </c>
      <c r="N161" s="7">
        <f t="shared" si="9"/>
        <v>1446.9</v>
      </c>
      <c r="O161" s="7">
        <f t="shared" si="10"/>
        <v>1475.8380000000002</v>
      </c>
      <c r="P161" s="7">
        <f t="shared" si="11"/>
        <v>9674.9380000000001</v>
      </c>
    </row>
    <row r="162" spans="1:16" x14ac:dyDescent="0.25">
      <c r="A162" s="2" t="s">
        <v>225</v>
      </c>
      <c r="B162" s="3">
        <v>45318</v>
      </c>
      <c r="C162" s="2" t="s">
        <v>24</v>
      </c>
      <c r="D162" s="2" t="s">
        <v>54</v>
      </c>
      <c r="E162" s="2" t="s">
        <v>35</v>
      </c>
      <c r="F162" s="2" t="s">
        <v>36</v>
      </c>
      <c r="G162" s="2" t="s">
        <v>21</v>
      </c>
      <c r="H162" s="2">
        <v>39</v>
      </c>
      <c r="I162" s="4">
        <v>285.41000000000003</v>
      </c>
      <c r="J162" s="2">
        <v>5</v>
      </c>
      <c r="K162" s="2">
        <v>18</v>
      </c>
      <c r="L162" s="2" t="s">
        <v>22</v>
      </c>
      <c r="M162" s="4">
        <f t="shared" si="8"/>
        <v>11130.990000000002</v>
      </c>
      <c r="N162" s="4">
        <f t="shared" si="9"/>
        <v>556.54950000000008</v>
      </c>
      <c r="O162" s="4">
        <f t="shared" si="10"/>
        <v>1903.3992900000001</v>
      </c>
      <c r="P162" s="4">
        <f t="shared" si="11"/>
        <v>12477.83979</v>
      </c>
    </row>
    <row r="163" spans="1:16" x14ac:dyDescent="0.25">
      <c r="A163" s="5" t="s">
        <v>226</v>
      </c>
      <c r="B163" s="6">
        <v>45554</v>
      </c>
      <c r="C163" s="5" t="s">
        <v>59</v>
      </c>
      <c r="D163" s="5" t="s">
        <v>60</v>
      </c>
      <c r="E163" s="5" t="s">
        <v>35</v>
      </c>
      <c r="F163" s="5" t="s">
        <v>36</v>
      </c>
      <c r="G163" s="5" t="s">
        <v>55</v>
      </c>
      <c r="H163" s="5">
        <v>49</v>
      </c>
      <c r="I163" s="7">
        <v>329.02</v>
      </c>
      <c r="J163" s="5">
        <v>10</v>
      </c>
      <c r="K163" s="5">
        <v>18</v>
      </c>
      <c r="L163" s="5" t="s">
        <v>22</v>
      </c>
      <c r="M163" s="7">
        <f t="shared" si="8"/>
        <v>16121.98</v>
      </c>
      <c r="N163" s="7">
        <f t="shared" si="9"/>
        <v>1612.1979999999999</v>
      </c>
      <c r="O163" s="7">
        <f t="shared" si="10"/>
        <v>2611.7607600000001</v>
      </c>
      <c r="P163" s="7">
        <f t="shared" si="11"/>
        <v>17121.54276</v>
      </c>
    </row>
    <row r="164" spans="1:16" x14ac:dyDescent="0.25">
      <c r="A164" s="2" t="s">
        <v>227</v>
      </c>
      <c r="B164" s="3">
        <v>45549</v>
      </c>
      <c r="C164" s="2" t="s">
        <v>59</v>
      </c>
      <c r="D164" s="2" t="s">
        <v>18</v>
      </c>
      <c r="E164" s="2" t="s">
        <v>44</v>
      </c>
      <c r="F164" s="2" t="s">
        <v>91</v>
      </c>
      <c r="G164" s="2" t="s">
        <v>31</v>
      </c>
      <c r="H164" s="2">
        <v>2</v>
      </c>
      <c r="I164" s="4">
        <v>835.64</v>
      </c>
      <c r="J164" s="2">
        <v>10</v>
      </c>
      <c r="K164" s="2">
        <v>18</v>
      </c>
      <c r="L164" s="2" t="s">
        <v>22</v>
      </c>
      <c r="M164" s="4">
        <f t="shared" si="8"/>
        <v>1671.28</v>
      </c>
      <c r="N164" s="4">
        <f t="shared" si="9"/>
        <v>167.12799999999999</v>
      </c>
      <c r="O164" s="4">
        <f t="shared" si="10"/>
        <v>270.74736000000001</v>
      </c>
      <c r="P164" s="4">
        <f t="shared" si="11"/>
        <v>1774.8993600000001</v>
      </c>
    </row>
    <row r="165" spans="1:16" x14ac:dyDescent="0.25">
      <c r="A165" s="5" t="s">
        <v>228</v>
      </c>
      <c r="B165" s="6">
        <v>45624</v>
      </c>
      <c r="C165" s="5" t="s">
        <v>24</v>
      </c>
      <c r="D165" s="5" t="s">
        <v>60</v>
      </c>
      <c r="E165" s="5" t="s">
        <v>38</v>
      </c>
      <c r="F165" s="5" t="s">
        <v>96</v>
      </c>
      <c r="G165" s="5" t="s">
        <v>55</v>
      </c>
      <c r="H165" s="5">
        <v>2</v>
      </c>
      <c r="I165" s="7">
        <v>644.17999999999995</v>
      </c>
      <c r="J165" s="5">
        <v>0</v>
      </c>
      <c r="K165" s="5">
        <v>18</v>
      </c>
      <c r="L165" s="5" t="s">
        <v>22</v>
      </c>
      <c r="M165" s="7">
        <f t="shared" si="8"/>
        <v>1288.3599999999999</v>
      </c>
      <c r="N165" s="7">
        <f t="shared" si="9"/>
        <v>0</v>
      </c>
      <c r="O165" s="7">
        <f t="shared" si="10"/>
        <v>231.90479999999999</v>
      </c>
      <c r="P165" s="7">
        <f t="shared" si="11"/>
        <v>1520.2647999999999</v>
      </c>
    </row>
    <row r="166" spans="1:16" x14ac:dyDescent="0.25">
      <c r="A166" s="2" t="s">
        <v>229</v>
      </c>
      <c r="B166" s="3">
        <v>45532</v>
      </c>
      <c r="C166" s="2" t="s">
        <v>47</v>
      </c>
      <c r="D166" s="2" t="s">
        <v>25</v>
      </c>
      <c r="E166" s="2" t="s">
        <v>38</v>
      </c>
      <c r="F166" s="2" t="s">
        <v>96</v>
      </c>
      <c r="G166" s="2" t="s">
        <v>55</v>
      </c>
      <c r="H166" s="2">
        <v>45</v>
      </c>
      <c r="I166" s="4">
        <v>1663.91</v>
      </c>
      <c r="J166" s="2">
        <v>20</v>
      </c>
      <c r="K166" s="2">
        <v>18</v>
      </c>
      <c r="L166" s="2" t="s">
        <v>49</v>
      </c>
      <c r="M166" s="4">
        <f t="shared" si="8"/>
        <v>74875.95</v>
      </c>
      <c r="N166" s="4">
        <f t="shared" si="9"/>
        <v>14975.19</v>
      </c>
      <c r="O166" s="4">
        <f t="shared" si="10"/>
        <v>10782.1368</v>
      </c>
      <c r="P166" s="4">
        <f t="shared" si="11"/>
        <v>70682.896799999988</v>
      </c>
    </row>
    <row r="167" spans="1:16" x14ac:dyDescent="0.25">
      <c r="A167" s="5" t="s">
        <v>230</v>
      </c>
      <c r="B167" s="6">
        <v>45603</v>
      </c>
      <c r="C167" s="5" t="s">
        <v>59</v>
      </c>
      <c r="D167" s="5" t="s">
        <v>60</v>
      </c>
      <c r="E167" s="5" t="s">
        <v>35</v>
      </c>
      <c r="F167" s="5" t="s">
        <v>68</v>
      </c>
      <c r="G167" s="5" t="s">
        <v>27</v>
      </c>
      <c r="H167" s="5">
        <v>14</v>
      </c>
      <c r="I167" s="7">
        <v>1671.58</v>
      </c>
      <c r="J167" s="5">
        <v>15</v>
      </c>
      <c r="K167" s="5">
        <v>18</v>
      </c>
      <c r="L167" s="5" t="s">
        <v>22</v>
      </c>
      <c r="M167" s="7">
        <f t="shared" si="8"/>
        <v>23402.12</v>
      </c>
      <c r="N167" s="7">
        <f t="shared" si="9"/>
        <v>3510.3179999999998</v>
      </c>
      <c r="O167" s="7">
        <f t="shared" si="10"/>
        <v>3580.5243599999999</v>
      </c>
      <c r="P167" s="7">
        <f t="shared" si="11"/>
        <v>23472.326359999999</v>
      </c>
    </row>
    <row r="168" spans="1:16" x14ac:dyDescent="0.25">
      <c r="A168" s="2" t="s">
        <v>231</v>
      </c>
      <c r="B168" s="3">
        <v>45619</v>
      </c>
      <c r="C168" s="2" t="s">
        <v>59</v>
      </c>
      <c r="D168" s="2" t="s">
        <v>43</v>
      </c>
      <c r="E168" s="2" t="s">
        <v>29</v>
      </c>
      <c r="F168" s="2" t="s">
        <v>74</v>
      </c>
      <c r="G168" s="2" t="s">
        <v>21</v>
      </c>
      <c r="H168" s="2">
        <v>8</v>
      </c>
      <c r="I168" s="4">
        <v>105.02</v>
      </c>
      <c r="J168" s="2">
        <v>10</v>
      </c>
      <c r="K168" s="2">
        <v>18</v>
      </c>
      <c r="L168" s="2" t="s">
        <v>22</v>
      </c>
      <c r="M168" s="4">
        <f t="shared" si="8"/>
        <v>840.16</v>
      </c>
      <c r="N168" s="4">
        <f t="shared" si="9"/>
        <v>84.016000000000005</v>
      </c>
      <c r="O168" s="4">
        <f t="shared" si="10"/>
        <v>136.10592</v>
      </c>
      <c r="P168" s="4">
        <f t="shared" si="11"/>
        <v>892.24991999999997</v>
      </c>
    </row>
    <row r="169" spans="1:16" x14ac:dyDescent="0.25">
      <c r="A169" s="5" t="s">
        <v>232</v>
      </c>
      <c r="B169" s="6">
        <v>45586</v>
      </c>
      <c r="C169" s="5" t="s">
        <v>59</v>
      </c>
      <c r="D169" s="5" t="s">
        <v>60</v>
      </c>
      <c r="E169" s="5" t="s">
        <v>29</v>
      </c>
      <c r="F169" s="5" t="s">
        <v>74</v>
      </c>
      <c r="G169" s="5" t="s">
        <v>31</v>
      </c>
      <c r="H169" s="5">
        <v>35</v>
      </c>
      <c r="I169" s="7">
        <v>42.71</v>
      </c>
      <c r="J169" s="5">
        <v>15</v>
      </c>
      <c r="K169" s="5">
        <v>18</v>
      </c>
      <c r="L169" s="5" t="s">
        <v>32</v>
      </c>
      <c r="M169" s="7">
        <f t="shared" si="8"/>
        <v>1494.8500000000001</v>
      </c>
      <c r="N169" s="7">
        <f t="shared" si="9"/>
        <v>224.22750000000005</v>
      </c>
      <c r="O169" s="7">
        <f t="shared" si="10"/>
        <v>228.71205</v>
      </c>
      <c r="P169" s="7">
        <f t="shared" si="11"/>
        <v>1499.3345500000003</v>
      </c>
    </row>
    <row r="170" spans="1:16" x14ac:dyDescent="0.25">
      <c r="A170" s="2" t="s">
        <v>233</v>
      </c>
      <c r="B170" s="3">
        <v>45387</v>
      </c>
      <c r="C170" s="2" t="s">
        <v>17</v>
      </c>
      <c r="D170" s="2" t="s">
        <v>54</v>
      </c>
      <c r="E170" s="2" t="s">
        <v>44</v>
      </c>
      <c r="F170" s="2" t="s">
        <v>78</v>
      </c>
      <c r="G170" s="2" t="s">
        <v>27</v>
      </c>
      <c r="H170" s="2">
        <v>23</v>
      </c>
      <c r="I170" s="4">
        <v>488.72</v>
      </c>
      <c r="J170" s="2">
        <v>10</v>
      </c>
      <c r="K170" s="2">
        <v>18</v>
      </c>
      <c r="L170" s="2" t="s">
        <v>32</v>
      </c>
      <c r="M170" s="4">
        <f t="shared" si="8"/>
        <v>11240.560000000001</v>
      </c>
      <c r="N170" s="4">
        <f t="shared" si="9"/>
        <v>1124.056</v>
      </c>
      <c r="O170" s="4">
        <f t="shared" si="10"/>
        <v>1820.9707200000003</v>
      </c>
      <c r="P170" s="4">
        <f t="shared" si="11"/>
        <v>11937.474720000002</v>
      </c>
    </row>
    <row r="171" spans="1:16" x14ac:dyDescent="0.25">
      <c r="A171" s="5" t="s">
        <v>234</v>
      </c>
      <c r="B171" s="6">
        <v>45483</v>
      </c>
      <c r="C171" s="5" t="s">
        <v>17</v>
      </c>
      <c r="D171" s="5" t="s">
        <v>60</v>
      </c>
      <c r="E171" s="5" t="s">
        <v>19</v>
      </c>
      <c r="F171" s="5" t="s">
        <v>26</v>
      </c>
      <c r="G171" s="5" t="s">
        <v>27</v>
      </c>
      <c r="H171" s="5">
        <v>31</v>
      </c>
      <c r="I171" s="7">
        <v>96.63</v>
      </c>
      <c r="J171" s="5">
        <v>10</v>
      </c>
      <c r="K171" s="5">
        <v>18</v>
      </c>
      <c r="L171" s="5" t="s">
        <v>49</v>
      </c>
      <c r="M171" s="7">
        <f t="shared" si="8"/>
        <v>2995.5299999999997</v>
      </c>
      <c r="N171" s="7">
        <f t="shared" si="9"/>
        <v>299.55299999999994</v>
      </c>
      <c r="O171" s="7">
        <f t="shared" si="10"/>
        <v>485.27585999999997</v>
      </c>
      <c r="P171" s="7">
        <f t="shared" si="11"/>
        <v>3181.2528599999996</v>
      </c>
    </row>
    <row r="172" spans="1:16" x14ac:dyDescent="0.25">
      <c r="A172" s="2" t="s">
        <v>235</v>
      </c>
      <c r="B172" s="3">
        <v>45589</v>
      </c>
      <c r="C172" s="2" t="s">
        <v>17</v>
      </c>
      <c r="D172" s="2" t="s">
        <v>60</v>
      </c>
      <c r="E172" s="2" t="s">
        <v>38</v>
      </c>
      <c r="F172" s="2" t="s">
        <v>48</v>
      </c>
      <c r="G172" s="2" t="s">
        <v>55</v>
      </c>
      <c r="H172" s="2">
        <v>47</v>
      </c>
      <c r="I172" s="4">
        <v>1317.64</v>
      </c>
      <c r="J172" s="2">
        <v>0</v>
      </c>
      <c r="K172" s="2">
        <v>18</v>
      </c>
      <c r="L172" s="2" t="s">
        <v>22</v>
      </c>
      <c r="M172" s="4">
        <f t="shared" si="8"/>
        <v>61929.08</v>
      </c>
      <c r="N172" s="4">
        <f t="shared" si="9"/>
        <v>0</v>
      </c>
      <c r="O172" s="4">
        <f t="shared" si="10"/>
        <v>11147.234399999999</v>
      </c>
      <c r="P172" s="4">
        <f t="shared" si="11"/>
        <v>73076.314400000003</v>
      </c>
    </row>
    <row r="173" spans="1:16" x14ac:dyDescent="0.25">
      <c r="A173" s="5" t="s">
        <v>236</v>
      </c>
      <c r="B173" s="6">
        <v>45537</v>
      </c>
      <c r="C173" s="5" t="s">
        <v>59</v>
      </c>
      <c r="D173" s="5" t="s">
        <v>64</v>
      </c>
      <c r="E173" s="5" t="s">
        <v>38</v>
      </c>
      <c r="F173" s="5" t="s">
        <v>96</v>
      </c>
      <c r="G173" s="5" t="s">
        <v>55</v>
      </c>
      <c r="H173" s="5">
        <v>50</v>
      </c>
      <c r="I173" s="7">
        <v>1372.52</v>
      </c>
      <c r="J173" s="5">
        <v>20</v>
      </c>
      <c r="K173" s="5">
        <v>18</v>
      </c>
      <c r="L173" s="5" t="s">
        <v>22</v>
      </c>
      <c r="M173" s="7">
        <f t="shared" si="8"/>
        <v>68626</v>
      </c>
      <c r="N173" s="7">
        <f t="shared" si="9"/>
        <v>13725.2</v>
      </c>
      <c r="O173" s="7">
        <f t="shared" si="10"/>
        <v>9882.1440000000002</v>
      </c>
      <c r="P173" s="7">
        <f t="shared" si="11"/>
        <v>64782.944000000003</v>
      </c>
    </row>
    <row r="174" spans="1:16" x14ac:dyDescent="0.25">
      <c r="A174" s="2" t="s">
        <v>237</v>
      </c>
      <c r="B174" s="3">
        <v>45313</v>
      </c>
      <c r="C174" s="2" t="s">
        <v>59</v>
      </c>
      <c r="D174" s="2" t="s">
        <v>52</v>
      </c>
      <c r="E174" s="2" t="s">
        <v>44</v>
      </c>
      <c r="F174" s="2" t="s">
        <v>78</v>
      </c>
      <c r="G174" s="2" t="s">
        <v>27</v>
      </c>
      <c r="H174" s="2">
        <v>13</v>
      </c>
      <c r="I174" s="4">
        <v>97.17</v>
      </c>
      <c r="J174" s="2">
        <v>0</v>
      </c>
      <c r="K174" s="2">
        <v>18</v>
      </c>
      <c r="L174" s="2" t="s">
        <v>22</v>
      </c>
      <c r="M174" s="4">
        <f t="shared" si="8"/>
        <v>1263.21</v>
      </c>
      <c r="N174" s="4">
        <f t="shared" si="9"/>
        <v>0</v>
      </c>
      <c r="O174" s="4">
        <f t="shared" si="10"/>
        <v>227.37779999999998</v>
      </c>
      <c r="P174" s="4">
        <f t="shared" si="11"/>
        <v>1490.5878</v>
      </c>
    </row>
    <row r="175" spans="1:16" x14ac:dyDescent="0.25">
      <c r="A175" s="5" t="s">
        <v>238</v>
      </c>
      <c r="B175" s="6">
        <v>45474</v>
      </c>
      <c r="C175" s="5" t="s">
        <v>24</v>
      </c>
      <c r="D175" s="5" t="s">
        <v>52</v>
      </c>
      <c r="E175" s="5" t="s">
        <v>38</v>
      </c>
      <c r="F175" s="5" t="s">
        <v>135</v>
      </c>
      <c r="G175" s="5" t="s">
        <v>55</v>
      </c>
      <c r="H175" s="5">
        <v>49</v>
      </c>
      <c r="I175" s="7">
        <v>1297.33</v>
      </c>
      <c r="J175" s="5">
        <v>5</v>
      </c>
      <c r="K175" s="5">
        <v>18</v>
      </c>
      <c r="L175" s="5" t="s">
        <v>22</v>
      </c>
      <c r="M175" s="7">
        <f t="shared" si="8"/>
        <v>63569.17</v>
      </c>
      <c r="N175" s="7">
        <f t="shared" si="9"/>
        <v>3178.4584999999997</v>
      </c>
      <c r="O175" s="7">
        <f t="shared" si="10"/>
        <v>10870.32807</v>
      </c>
      <c r="P175" s="7">
        <f t="shared" si="11"/>
        <v>71261.039569999994</v>
      </c>
    </row>
    <row r="176" spans="1:16" x14ac:dyDescent="0.25">
      <c r="A176" s="2" t="s">
        <v>239</v>
      </c>
      <c r="B176" s="3">
        <v>45465</v>
      </c>
      <c r="C176" s="2" t="s">
        <v>17</v>
      </c>
      <c r="D176" s="2" t="s">
        <v>60</v>
      </c>
      <c r="E176" s="2" t="s">
        <v>19</v>
      </c>
      <c r="F176" s="2" t="s">
        <v>62</v>
      </c>
      <c r="G176" s="2" t="s">
        <v>55</v>
      </c>
      <c r="H176" s="2">
        <v>26</v>
      </c>
      <c r="I176" s="4">
        <v>1489.18</v>
      </c>
      <c r="J176" s="2">
        <v>10</v>
      </c>
      <c r="K176" s="2">
        <v>18</v>
      </c>
      <c r="L176" s="2" t="s">
        <v>49</v>
      </c>
      <c r="M176" s="4">
        <f t="shared" si="8"/>
        <v>38718.68</v>
      </c>
      <c r="N176" s="4">
        <f t="shared" si="9"/>
        <v>3871.8679999999999</v>
      </c>
      <c r="O176" s="4">
        <f t="shared" si="10"/>
        <v>6272.4261599999991</v>
      </c>
      <c r="P176" s="4">
        <f t="shared" si="11"/>
        <v>41119.238159999994</v>
      </c>
    </row>
    <row r="177" spans="1:16" x14ac:dyDescent="0.25">
      <c r="A177" s="5" t="s">
        <v>240</v>
      </c>
      <c r="B177" s="6">
        <v>45600</v>
      </c>
      <c r="C177" s="5" t="s">
        <v>24</v>
      </c>
      <c r="D177" s="5" t="s">
        <v>64</v>
      </c>
      <c r="E177" s="5" t="s">
        <v>44</v>
      </c>
      <c r="F177" s="5" t="s">
        <v>91</v>
      </c>
      <c r="G177" s="5" t="s">
        <v>55</v>
      </c>
      <c r="H177" s="5">
        <v>47</v>
      </c>
      <c r="I177" s="7">
        <v>854.75</v>
      </c>
      <c r="J177" s="5">
        <v>10</v>
      </c>
      <c r="K177" s="5">
        <v>18</v>
      </c>
      <c r="L177" s="5" t="s">
        <v>22</v>
      </c>
      <c r="M177" s="7">
        <f t="shared" si="8"/>
        <v>40173.25</v>
      </c>
      <c r="N177" s="7">
        <f t="shared" si="9"/>
        <v>4017.3249999999998</v>
      </c>
      <c r="O177" s="7">
        <f t="shared" si="10"/>
        <v>6508.0664999999999</v>
      </c>
      <c r="P177" s="7">
        <f t="shared" si="11"/>
        <v>42663.991500000004</v>
      </c>
    </row>
    <row r="178" spans="1:16" x14ac:dyDescent="0.25">
      <c r="A178" s="2" t="s">
        <v>241</v>
      </c>
      <c r="B178" s="3">
        <v>45520</v>
      </c>
      <c r="C178" s="2" t="s">
        <v>17</v>
      </c>
      <c r="D178" s="2" t="s">
        <v>64</v>
      </c>
      <c r="E178" s="2" t="s">
        <v>44</v>
      </c>
      <c r="F178" s="2" t="s">
        <v>141</v>
      </c>
      <c r="G178" s="2" t="s">
        <v>27</v>
      </c>
      <c r="H178" s="2">
        <v>21</v>
      </c>
      <c r="I178" s="4">
        <v>1325.23</v>
      </c>
      <c r="J178" s="2">
        <v>5</v>
      </c>
      <c r="K178" s="2">
        <v>18</v>
      </c>
      <c r="L178" s="2" t="s">
        <v>22</v>
      </c>
      <c r="M178" s="4">
        <f t="shared" si="8"/>
        <v>27829.83</v>
      </c>
      <c r="N178" s="4">
        <f t="shared" si="9"/>
        <v>1391.4915000000003</v>
      </c>
      <c r="O178" s="4">
        <f t="shared" si="10"/>
        <v>4758.9009300000007</v>
      </c>
      <c r="P178" s="4">
        <f t="shared" si="11"/>
        <v>31197.239430000001</v>
      </c>
    </row>
    <row r="179" spans="1:16" x14ac:dyDescent="0.25">
      <c r="A179" s="5" t="s">
        <v>242</v>
      </c>
      <c r="B179" s="6">
        <v>45606</v>
      </c>
      <c r="C179" s="5" t="s">
        <v>47</v>
      </c>
      <c r="D179" s="5" t="s">
        <v>52</v>
      </c>
      <c r="E179" s="5" t="s">
        <v>29</v>
      </c>
      <c r="F179" s="5" t="s">
        <v>74</v>
      </c>
      <c r="G179" s="5" t="s">
        <v>55</v>
      </c>
      <c r="H179" s="5">
        <v>3</v>
      </c>
      <c r="I179" s="7">
        <v>1456.36</v>
      </c>
      <c r="J179" s="5">
        <v>5</v>
      </c>
      <c r="K179" s="5">
        <v>18</v>
      </c>
      <c r="L179" s="5" t="s">
        <v>49</v>
      </c>
      <c r="M179" s="7">
        <f t="shared" si="8"/>
        <v>4369.08</v>
      </c>
      <c r="N179" s="7">
        <f t="shared" si="9"/>
        <v>218.45400000000001</v>
      </c>
      <c r="O179" s="7">
        <f t="shared" si="10"/>
        <v>747.11268000000007</v>
      </c>
      <c r="P179" s="7">
        <f t="shared" si="11"/>
        <v>4897.7386800000004</v>
      </c>
    </row>
    <row r="180" spans="1:16" x14ac:dyDescent="0.25">
      <c r="A180" s="2" t="s">
        <v>243</v>
      </c>
      <c r="B180" s="3">
        <v>45373</v>
      </c>
      <c r="C180" s="2" t="s">
        <v>59</v>
      </c>
      <c r="D180" s="2" t="s">
        <v>60</v>
      </c>
      <c r="E180" s="2" t="s">
        <v>35</v>
      </c>
      <c r="F180" s="2" t="s">
        <v>36</v>
      </c>
      <c r="G180" s="2" t="s">
        <v>31</v>
      </c>
      <c r="H180" s="2">
        <v>33</v>
      </c>
      <c r="I180" s="4">
        <v>1604.18</v>
      </c>
      <c r="J180" s="2">
        <v>20</v>
      </c>
      <c r="K180" s="2">
        <v>18</v>
      </c>
      <c r="L180" s="2" t="s">
        <v>22</v>
      </c>
      <c r="M180" s="4">
        <f t="shared" si="8"/>
        <v>52937.94</v>
      </c>
      <c r="N180" s="4">
        <f t="shared" si="9"/>
        <v>10587.588</v>
      </c>
      <c r="O180" s="4">
        <f t="shared" si="10"/>
        <v>7623.0633600000001</v>
      </c>
      <c r="P180" s="4">
        <f t="shared" si="11"/>
        <v>49973.415359999999</v>
      </c>
    </row>
    <row r="181" spans="1:16" x14ac:dyDescent="0.25">
      <c r="A181" s="5" t="s">
        <v>244</v>
      </c>
      <c r="B181" s="6">
        <v>45477</v>
      </c>
      <c r="C181" s="5" t="s">
        <v>24</v>
      </c>
      <c r="D181" s="5" t="s">
        <v>25</v>
      </c>
      <c r="E181" s="5" t="s">
        <v>19</v>
      </c>
      <c r="F181" s="5" t="s">
        <v>57</v>
      </c>
      <c r="G181" s="5" t="s">
        <v>21</v>
      </c>
      <c r="H181" s="5">
        <v>16</v>
      </c>
      <c r="I181" s="7">
        <v>1559.25</v>
      </c>
      <c r="J181" s="5">
        <v>5</v>
      </c>
      <c r="K181" s="5">
        <v>18</v>
      </c>
      <c r="L181" s="5" t="s">
        <v>22</v>
      </c>
      <c r="M181" s="7">
        <f t="shared" si="8"/>
        <v>24948</v>
      </c>
      <c r="N181" s="7">
        <f t="shared" si="9"/>
        <v>1247.4000000000001</v>
      </c>
      <c r="O181" s="7">
        <f t="shared" si="10"/>
        <v>4266.1080000000002</v>
      </c>
      <c r="P181" s="7">
        <f t="shared" si="11"/>
        <v>27966.707999999999</v>
      </c>
    </row>
    <row r="182" spans="1:16" x14ac:dyDescent="0.25">
      <c r="A182" s="2" t="s">
        <v>245</v>
      </c>
      <c r="B182" s="3">
        <v>45585</v>
      </c>
      <c r="C182" s="2" t="s">
        <v>59</v>
      </c>
      <c r="D182" s="2" t="s">
        <v>34</v>
      </c>
      <c r="E182" s="2" t="s">
        <v>35</v>
      </c>
      <c r="F182" s="2" t="s">
        <v>68</v>
      </c>
      <c r="G182" s="2" t="s">
        <v>31</v>
      </c>
      <c r="H182" s="2">
        <v>24</v>
      </c>
      <c r="I182" s="4">
        <v>893.44</v>
      </c>
      <c r="J182" s="2">
        <v>0</v>
      </c>
      <c r="K182" s="2">
        <v>18</v>
      </c>
      <c r="L182" s="2" t="s">
        <v>22</v>
      </c>
      <c r="M182" s="4">
        <f t="shared" si="8"/>
        <v>21442.560000000001</v>
      </c>
      <c r="N182" s="4">
        <f t="shared" si="9"/>
        <v>0</v>
      </c>
      <c r="O182" s="4">
        <f t="shared" si="10"/>
        <v>3859.6608000000001</v>
      </c>
      <c r="P182" s="4">
        <f t="shared" si="11"/>
        <v>25302.220800000003</v>
      </c>
    </row>
    <row r="183" spans="1:16" x14ac:dyDescent="0.25">
      <c r="A183" s="5" t="s">
        <v>246</v>
      </c>
      <c r="B183" s="6">
        <v>45387</v>
      </c>
      <c r="C183" s="5" t="s">
        <v>17</v>
      </c>
      <c r="D183" s="5" t="s">
        <v>54</v>
      </c>
      <c r="E183" s="5" t="s">
        <v>44</v>
      </c>
      <c r="F183" s="5" t="s">
        <v>141</v>
      </c>
      <c r="G183" s="5" t="s">
        <v>55</v>
      </c>
      <c r="H183" s="5">
        <v>16</v>
      </c>
      <c r="I183" s="7">
        <v>1921.43</v>
      </c>
      <c r="J183" s="5">
        <v>0</v>
      </c>
      <c r="K183" s="5">
        <v>18</v>
      </c>
      <c r="L183" s="5" t="s">
        <v>22</v>
      </c>
      <c r="M183" s="7">
        <f t="shared" si="8"/>
        <v>30742.880000000001</v>
      </c>
      <c r="N183" s="7">
        <f t="shared" si="9"/>
        <v>0</v>
      </c>
      <c r="O183" s="7">
        <f t="shared" si="10"/>
        <v>5533.7183999999997</v>
      </c>
      <c r="P183" s="7">
        <f t="shared" si="11"/>
        <v>36276.598400000003</v>
      </c>
    </row>
    <row r="184" spans="1:16" x14ac:dyDescent="0.25">
      <c r="A184" s="2" t="s">
        <v>247</v>
      </c>
      <c r="B184" s="3">
        <v>45438</v>
      </c>
      <c r="C184" s="2" t="s">
        <v>24</v>
      </c>
      <c r="D184" s="2" t="s">
        <v>60</v>
      </c>
      <c r="E184" s="2" t="s">
        <v>35</v>
      </c>
      <c r="F184" s="2" t="s">
        <v>68</v>
      </c>
      <c r="G184" s="2" t="s">
        <v>55</v>
      </c>
      <c r="H184" s="2">
        <v>46</v>
      </c>
      <c r="I184" s="4">
        <v>898.08</v>
      </c>
      <c r="J184" s="2">
        <v>15</v>
      </c>
      <c r="K184" s="2">
        <v>18</v>
      </c>
      <c r="L184" s="2" t="s">
        <v>22</v>
      </c>
      <c r="M184" s="4">
        <f t="shared" si="8"/>
        <v>41311.68</v>
      </c>
      <c r="N184" s="4">
        <f t="shared" si="9"/>
        <v>6196.7519999999995</v>
      </c>
      <c r="O184" s="4">
        <f t="shared" si="10"/>
        <v>6320.6870400000007</v>
      </c>
      <c r="P184" s="4">
        <f t="shared" si="11"/>
        <v>41435.615040000004</v>
      </c>
    </row>
    <row r="185" spans="1:16" x14ac:dyDescent="0.25">
      <c r="A185" s="5" t="s">
        <v>248</v>
      </c>
      <c r="B185" s="6">
        <v>45336</v>
      </c>
      <c r="C185" s="5" t="s">
        <v>59</v>
      </c>
      <c r="D185" s="5" t="s">
        <v>34</v>
      </c>
      <c r="E185" s="5" t="s">
        <v>35</v>
      </c>
      <c r="F185" s="5" t="s">
        <v>88</v>
      </c>
      <c r="G185" s="5" t="s">
        <v>27</v>
      </c>
      <c r="H185" s="5">
        <v>12</v>
      </c>
      <c r="I185" s="7">
        <v>1798.37</v>
      </c>
      <c r="J185" s="5">
        <v>10</v>
      </c>
      <c r="K185" s="5">
        <v>18</v>
      </c>
      <c r="L185" s="5" t="s">
        <v>49</v>
      </c>
      <c r="M185" s="7">
        <f t="shared" si="8"/>
        <v>21580.44</v>
      </c>
      <c r="N185" s="7">
        <f t="shared" si="9"/>
        <v>2158.0439999999999</v>
      </c>
      <c r="O185" s="7">
        <f t="shared" si="10"/>
        <v>3496.0312800000002</v>
      </c>
      <c r="P185" s="7">
        <f t="shared" si="11"/>
        <v>22918.42728</v>
      </c>
    </row>
    <row r="186" spans="1:16" x14ac:dyDescent="0.25">
      <c r="A186" s="2" t="s">
        <v>249</v>
      </c>
      <c r="B186" s="3">
        <v>45618</v>
      </c>
      <c r="C186" s="2" t="s">
        <v>59</v>
      </c>
      <c r="D186" s="2" t="s">
        <v>43</v>
      </c>
      <c r="E186" s="2" t="s">
        <v>38</v>
      </c>
      <c r="F186" s="2" t="s">
        <v>135</v>
      </c>
      <c r="G186" s="2" t="s">
        <v>55</v>
      </c>
      <c r="H186" s="2">
        <v>46</v>
      </c>
      <c r="I186" s="4">
        <v>1422.03</v>
      </c>
      <c r="J186" s="2">
        <v>20</v>
      </c>
      <c r="K186" s="2">
        <v>18</v>
      </c>
      <c r="L186" s="2" t="s">
        <v>22</v>
      </c>
      <c r="M186" s="4">
        <f t="shared" si="8"/>
        <v>65413.38</v>
      </c>
      <c r="N186" s="4">
        <f t="shared" si="9"/>
        <v>13082.675999999999</v>
      </c>
      <c r="O186" s="4">
        <f t="shared" si="10"/>
        <v>9419.5267199999998</v>
      </c>
      <c r="P186" s="4">
        <f t="shared" si="11"/>
        <v>61750.23072</v>
      </c>
    </row>
    <row r="187" spans="1:16" x14ac:dyDescent="0.25">
      <c r="A187" s="5" t="s">
        <v>250</v>
      </c>
      <c r="B187" s="6">
        <v>45476</v>
      </c>
      <c r="C187" s="5" t="s">
        <v>47</v>
      </c>
      <c r="D187" s="5" t="s">
        <v>60</v>
      </c>
      <c r="E187" s="5" t="s">
        <v>44</v>
      </c>
      <c r="F187" s="5" t="s">
        <v>93</v>
      </c>
      <c r="G187" s="5" t="s">
        <v>21</v>
      </c>
      <c r="H187" s="5">
        <v>16</v>
      </c>
      <c r="I187" s="7">
        <v>1582.84</v>
      </c>
      <c r="J187" s="5">
        <v>0</v>
      </c>
      <c r="K187" s="5">
        <v>18</v>
      </c>
      <c r="L187" s="5" t="s">
        <v>22</v>
      </c>
      <c r="M187" s="7">
        <f t="shared" si="8"/>
        <v>25325.439999999999</v>
      </c>
      <c r="N187" s="7">
        <f t="shared" si="9"/>
        <v>0</v>
      </c>
      <c r="O187" s="7">
        <f t="shared" si="10"/>
        <v>4558.5792000000001</v>
      </c>
      <c r="P187" s="7">
        <f t="shared" si="11"/>
        <v>29884.019199999999</v>
      </c>
    </row>
    <row r="188" spans="1:16" x14ac:dyDescent="0.25">
      <c r="A188" s="2" t="s">
        <v>251</v>
      </c>
      <c r="B188" s="3">
        <v>45537</v>
      </c>
      <c r="C188" s="2" t="s">
        <v>17</v>
      </c>
      <c r="D188" s="2" t="s">
        <v>52</v>
      </c>
      <c r="E188" s="2" t="s">
        <v>29</v>
      </c>
      <c r="F188" s="2" t="s">
        <v>65</v>
      </c>
      <c r="G188" s="2" t="s">
        <v>21</v>
      </c>
      <c r="H188" s="2">
        <v>6</v>
      </c>
      <c r="I188" s="4">
        <v>140.84</v>
      </c>
      <c r="J188" s="2">
        <v>10</v>
      </c>
      <c r="K188" s="2">
        <v>18</v>
      </c>
      <c r="L188" s="2" t="s">
        <v>32</v>
      </c>
      <c r="M188" s="4">
        <f t="shared" si="8"/>
        <v>845.04</v>
      </c>
      <c r="N188" s="4">
        <f t="shared" si="9"/>
        <v>84.503999999999991</v>
      </c>
      <c r="O188" s="4">
        <f t="shared" si="10"/>
        <v>136.89648</v>
      </c>
      <c r="P188" s="4">
        <f t="shared" si="11"/>
        <v>897.43247999999994</v>
      </c>
    </row>
    <row r="189" spans="1:16" x14ac:dyDescent="0.25">
      <c r="A189" s="5" t="s">
        <v>252</v>
      </c>
      <c r="B189" s="6">
        <v>45640</v>
      </c>
      <c r="C189" s="5" t="s">
        <v>24</v>
      </c>
      <c r="D189" s="5" t="s">
        <v>60</v>
      </c>
      <c r="E189" s="5" t="s">
        <v>29</v>
      </c>
      <c r="F189" s="5" t="s">
        <v>74</v>
      </c>
      <c r="G189" s="5" t="s">
        <v>21</v>
      </c>
      <c r="H189" s="5">
        <v>42</v>
      </c>
      <c r="I189" s="7">
        <v>157.59</v>
      </c>
      <c r="J189" s="5">
        <v>10</v>
      </c>
      <c r="K189" s="5">
        <v>18</v>
      </c>
      <c r="L189" s="5" t="s">
        <v>22</v>
      </c>
      <c r="M189" s="7">
        <f t="shared" si="8"/>
        <v>6618.78</v>
      </c>
      <c r="N189" s="7">
        <f t="shared" si="9"/>
        <v>661.87800000000004</v>
      </c>
      <c r="O189" s="7">
        <f t="shared" si="10"/>
        <v>1072.24236</v>
      </c>
      <c r="P189" s="7">
        <f t="shared" si="11"/>
        <v>7029.1443600000002</v>
      </c>
    </row>
    <row r="190" spans="1:16" x14ac:dyDescent="0.25">
      <c r="A190" s="2" t="s">
        <v>253</v>
      </c>
      <c r="B190" s="3">
        <v>45355</v>
      </c>
      <c r="C190" s="2" t="s">
        <v>47</v>
      </c>
      <c r="D190" s="2" t="s">
        <v>34</v>
      </c>
      <c r="E190" s="2" t="s">
        <v>29</v>
      </c>
      <c r="F190" s="2" t="s">
        <v>41</v>
      </c>
      <c r="G190" s="2" t="s">
        <v>21</v>
      </c>
      <c r="H190" s="2">
        <v>33</v>
      </c>
      <c r="I190" s="4">
        <v>1822.32</v>
      </c>
      <c r="J190" s="2">
        <v>0</v>
      </c>
      <c r="K190" s="2">
        <v>18</v>
      </c>
      <c r="L190" s="2" t="s">
        <v>49</v>
      </c>
      <c r="M190" s="4">
        <f t="shared" si="8"/>
        <v>60136.56</v>
      </c>
      <c r="N190" s="4">
        <f t="shared" si="9"/>
        <v>0</v>
      </c>
      <c r="O190" s="4">
        <f t="shared" si="10"/>
        <v>10824.580800000002</v>
      </c>
      <c r="P190" s="4">
        <f t="shared" si="11"/>
        <v>70961.140799999994</v>
      </c>
    </row>
    <row r="191" spans="1:16" x14ac:dyDescent="0.25">
      <c r="A191" s="5" t="s">
        <v>254</v>
      </c>
      <c r="B191" s="6">
        <v>45437</v>
      </c>
      <c r="C191" s="5" t="s">
        <v>17</v>
      </c>
      <c r="D191" s="5" t="s">
        <v>34</v>
      </c>
      <c r="E191" s="5" t="s">
        <v>29</v>
      </c>
      <c r="F191" s="5" t="s">
        <v>30</v>
      </c>
      <c r="G191" s="5" t="s">
        <v>21</v>
      </c>
      <c r="H191" s="5">
        <v>46</v>
      </c>
      <c r="I191" s="7">
        <v>458.69</v>
      </c>
      <c r="J191" s="5">
        <v>15</v>
      </c>
      <c r="K191" s="5">
        <v>18</v>
      </c>
      <c r="L191" s="5" t="s">
        <v>22</v>
      </c>
      <c r="M191" s="7">
        <f t="shared" si="8"/>
        <v>21099.74</v>
      </c>
      <c r="N191" s="7">
        <f t="shared" si="9"/>
        <v>3164.9610000000002</v>
      </c>
      <c r="O191" s="7">
        <f t="shared" si="10"/>
        <v>3228.2602200000006</v>
      </c>
      <c r="P191" s="7">
        <f t="shared" si="11"/>
        <v>21163.039220000002</v>
      </c>
    </row>
    <row r="192" spans="1:16" x14ac:dyDescent="0.25">
      <c r="A192" s="2" t="s">
        <v>255</v>
      </c>
      <c r="B192" s="3">
        <v>45620</v>
      </c>
      <c r="C192" s="2" t="s">
        <v>47</v>
      </c>
      <c r="D192" s="2" t="s">
        <v>43</v>
      </c>
      <c r="E192" s="2" t="s">
        <v>19</v>
      </c>
      <c r="F192" s="2" t="s">
        <v>62</v>
      </c>
      <c r="G192" s="2" t="s">
        <v>21</v>
      </c>
      <c r="H192" s="2">
        <v>40</v>
      </c>
      <c r="I192" s="4">
        <v>1071.6199999999999</v>
      </c>
      <c r="J192" s="2">
        <v>15</v>
      </c>
      <c r="K192" s="2">
        <v>18</v>
      </c>
      <c r="L192" s="2" t="s">
        <v>22</v>
      </c>
      <c r="M192" s="4">
        <f t="shared" si="8"/>
        <v>42864.799999999996</v>
      </c>
      <c r="N192" s="4">
        <f t="shared" si="9"/>
        <v>6429.7199999999984</v>
      </c>
      <c r="O192" s="4">
        <f t="shared" si="10"/>
        <v>6558.3143999999993</v>
      </c>
      <c r="P192" s="4">
        <f t="shared" si="11"/>
        <v>42993.39439999999</v>
      </c>
    </row>
    <row r="193" spans="1:16" x14ac:dyDescent="0.25">
      <c r="A193" s="5" t="s">
        <v>256</v>
      </c>
      <c r="B193" s="6">
        <v>45333</v>
      </c>
      <c r="C193" s="5" t="s">
        <v>47</v>
      </c>
      <c r="D193" s="5" t="s">
        <v>34</v>
      </c>
      <c r="E193" s="5" t="s">
        <v>44</v>
      </c>
      <c r="F193" s="5" t="s">
        <v>141</v>
      </c>
      <c r="G193" s="5" t="s">
        <v>55</v>
      </c>
      <c r="H193" s="5">
        <v>3</v>
      </c>
      <c r="I193" s="7">
        <v>1652.22</v>
      </c>
      <c r="J193" s="5">
        <v>0</v>
      </c>
      <c r="K193" s="5">
        <v>18</v>
      </c>
      <c r="L193" s="5" t="s">
        <v>32</v>
      </c>
      <c r="M193" s="7">
        <f t="shared" si="8"/>
        <v>4956.66</v>
      </c>
      <c r="N193" s="7">
        <f t="shared" si="9"/>
        <v>0</v>
      </c>
      <c r="O193" s="7">
        <f t="shared" si="10"/>
        <v>892.19880000000001</v>
      </c>
      <c r="P193" s="7">
        <f t="shared" si="11"/>
        <v>5848.8588</v>
      </c>
    </row>
    <row r="194" spans="1:16" x14ac:dyDescent="0.25">
      <c r="A194" s="2" t="s">
        <v>257</v>
      </c>
      <c r="B194" s="3">
        <v>45571</v>
      </c>
      <c r="C194" s="2" t="s">
        <v>17</v>
      </c>
      <c r="D194" s="2" t="s">
        <v>18</v>
      </c>
      <c r="E194" s="2" t="s">
        <v>19</v>
      </c>
      <c r="F194" s="2" t="s">
        <v>26</v>
      </c>
      <c r="G194" s="2" t="s">
        <v>31</v>
      </c>
      <c r="H194" s="2">
        <v>41</v>
      </c>
      <c r="I194" s="4">
        <v>70.27</v>
      </c>
      <c r="J194" s="2">
        <v>20</v>
      </c>
      <c r="K194" s="2">
        <v>18</v>
      </c>
      <c r="L194" s="2" t="s">
        <v>32</v>
      </c>
      <c r="M194" s="4">
        <f t="shared" ref="M194:M257" si="12">H194*I194</f>
        <v>2881.0699999999997</v>
      </c>
      <c r="N194" s="4">
        <f t="shared" ref="N194:N257" si="13">M194*J194/100</f>
        <v>576.21399999999994</v>
      </c>
      <c r="O194" s="4">
        <f t="shared" ref="O194:O257" si="14">(M194-N194)*K194/100</f>
        <v>414.87407999999994</v>
      </c>
      <c r="P194" s="4">
        <f t="shared" ref="P194:P257" si="15">M194-N194+O194</f>
        <v>2719.7300799999998</v>
      </c>
    </row>
    <row r="195" spans="1:16" x14ac:dyDescent="0.25">
      <c r="A195" s="5" t="s">
        <v>258</v>
      </c>
      <c r="B195" s="6">
        <v>45372</v>
      </c>
      <c r="C195" s="5" t="s">
        <v>24</v>
      </c>
      <c r="D195" s="5" t="s">
        <v>18</v>
      </c>
      <c r="E195" s="5" t="s">
        <v>38</v>
      </c>
      <c r="F195" s="5" t="s">
        <v>135</v>
      </c>
      <c r="G195" s="5" t="s">
        <v>31</v>
      </c>
      <c r="H195" s="5">
        <v>30</v>
      </c>
      <c r="I195" s="7">
        <v>155.22</v>
      </c>
      <c r="J195" s="5">
        <v>0</v>
      </c>
      <c r="K195" s="5">
        <v>18</v>
      </c>
      <c r="L195" s="5" t="s">
        <v>22</v>
      </c>
      <c r="M195" s="7">
        <f t="shared" si="12"/>
        <v>4656.6000000000004</v>
      </c>
      <c r="N195" s="7">
        <f t="shared" si="13"/>
        <v>0</v>
      </c>
      <c r="O195" s="7">
        <f t="shared" si="14"/>
        <v>838.18799999999999</v>
      </c>
      <c r="P195" s="7">
        <f t="shared" si="15"/>
        <v>5494.7880000000005</v>
      </c>
    </row>
    <row r="196" spans="1:16" x14ac:dyDescent="0.25">
      <c r="A196" s="2" t="s">
        <v>259</v>
      </c>
      <c r="B196" s="3">
        <v>45455</v>
      </c>
      <c r="C196" s="2" t="s">
        <v>24</v>
      </c>
      <c r="D196" s="2" t="s">
        <v>52</v>
      </c>
      <c r="E196" s="2" t="s">
        <v>35</v>
      </c>
      <c r="F196" s="2" t="s">
        <v>76</v>
      </c>
      <c r="G196" s="2" t="s">
        <v>21</v>
      </c>
      <c r="H196" s="2">
        <v>39</v>
      </c>
      <c r="I196" s="4">
        <v>295.89999999999998</v>
      </c>
      <c r="J196" s="2">
        <v>20</v>
      </c>
      <c r="K196" s="2">
        <v>18</v>
      </c>
      <c r="L196" s="2" t="s">
        <v>22</v>
      </c>
      <c r="M196" s="4">
        <f t="shared" si="12"/>
        <v>11540.099999999999</v>
      </c>
      <c r="N196" s="4">
        <f t="shared" si="13"/>
        <v>2308.0199999999995</v>
      </c>
      <c r="O196" s="4">
        <f t="shared" si="14"/>
        <v>1661.7743999999998</v>
      </c>
      <c r="P196" s="4">
        <f t="shared" si="15"/>
        <v>10893.854399999998</v>
      </c>
    </row>
    <row r="197" spans="1:16" x14ac:dyDescent="0.25">
      <c r="A197" s="5" t="s">
        <v>260</v>
      </c>
      <c r="B197" s="6">
        <v>45522</v>
      </c>
      <c r="C197" s="5" t="s">
        <v>47</v>
      </c>
      <c r="D197" s="5" t="s">
        <v>64</v>
      </c>
      <c r="E197" s="5" t="s">
        <v>38</v>
      </c>
      <c r="F197" s="5" t="s">
        <v>70</v>
      </c>
      <c r="G197" s="5" t="s">
        <v>27</v>
      </c>
      <c r="H197" s="5">
        <v>16</v>
      </c>
      <c r="I197" s="7">
        <v>938.28</v>
      </c>
      <c r="J197" s="5">
        <v>5</v>
      </c>
      <c r="K197" s="5">
        <v>18</v>
      </c>
      <c r="L197" s="5" t="s">
        <v>22</v>
      </c>
      <c r="M197" s="7">
        <f t="shared" si="12"/>
        <v>15012.48</v>
      </c>
      <c r="N197" s="7">
        <f t="shared" si="13"/>
        <v>750.62399999999991</v>
      </c>
      <c r="O197" s="7">
        <f t="shared" si="14"/>
        <v>2567.1340799999998</v>
      </c>
      <c r="P197" s="7">
        <f t="shared" si="15"/>
        <v>16828.99008</v>
      </c>
    </row>
    <row r="198" spans="1:16" x14ac:dyDescent="0.25">
      <c r="A198" s="2" t="s">
        <v>261</v>
      </c>
      <c r="B198" s="3">
        <v>45459</v>
      </c>
      <c r="C198" s="2" t="s">
        <v>59</v>
      </c>
      <c r="D198" s="2" t="s">
        <v>25</v>
      </c>
      <c r="E198" s="2" t="s">
        <v>44</v>
      </c>
      <c r="F198" s="2" t="s">
        <v>78</v>
      </c>
      <c r="G198" s="2" t="s">
        <v>55</v>
      </c>
      <c r="H198" s="2">
        <v>40</v>
      </c>
      <c r="I198" s="4">
        <v>842.09</v>
      </c>
      <c r="J198" s="2">
        <v>0</v>
      </c>
      <c r="K198" s="2">
        <v>18</v>
      </c>
      <c r="L198" s="2" t="s">
        <v>49</v>
      </c>
      <c r="M198" s="4">
        <f t="shared" si="12"/>
        <v>33683.599999999999</v>
      </c>
      <c r="N198" s="4">
        <f t="shared" si="13"/>
        <v>0</v>
      </c>
      <c r="O198" s="4">
        <f t="shared" si="14"/>
        <v>6063.0479999999989</v>
      </c>
      <c r="P198" s="4">
        <f t="shared" si="15"/>
        <v>39746.648000000001</v>
      </c>
    </row>
    <row r="199" spans="1:16" x14ac:dyDescent="0.25">
      <c r="A199" s="5" t="s">
        <v>262</v>
      </c>
      <c r="B199" s="6">
        <v>45546</v>
      </c>
      <c r="C199" s="5" t="s">
        <v>47</v>
      </c>
      <c r="D199" s="5" t="s">
        <v>34</v>
      </c>
      <c r="E199" s="5" t="s">
        <v>29</v>
      </c>
      <c r="F199" s="5" t="s">
        <v>41</v>
      </c>
      <c r="G199" s="5" t="s">
        <v>31</v>
      </c>
      <c r="H199" s="5">
        <v>30</v>
      </c>
      <c r="I199" s="7">
        <v>1002.53</v>
      </c>
      <c r="J199" s="5">
        <v>5</v>
      </c>
      <c r="K199" s="5">
        <v>18</v>
      </c>
      <c r="L199" s="5" t="s">
        <v>32</v>
      </c>
      <c r="M199" s="7">
        <f t="shared" si="12"/>
        <v>30075.899999999998</v>
      </c>
      <c r="N199" s="7">
        <f t="shared" si="13"/>
        <v>1503.7950000000001</v>
      </c>
      <c r="O199" s="7">
        <f t="shared" si="14"/>
        <v>5142.9788999999992</v>
      </c>
      <c r="P199" s="7">
        <f t="shared" si="15"/>
        <v>33715.083899999998</v>
      </c>
    </row>
    <row r="200" spans="1:16" x14ac:dyDescent="0.25">
      <c r="A200" s="2" t="s">
        <v>263</v>
      </c>
      <c r="B200" s="3">
        <v>45436</v>
      </c>
      <c r="C200" s="2" t="s">
        <v>24</v>
      </c>
      <c r="D200" s="2" t="s">
        <v>52</v>
      </c>
      <c r="E200" s="2" t="s">
        <v>19</v>
      </c>
      <c r="F200" s="2" t="s">
        <v>20</v>
      </c>
      <c r="G200" s="2" t="s">
        <v>21</v>
      </c>
      <c r="H200" s="2">
        <v>38</v>
      </c>
      <c r="I200" s="4">
        <v>712.26</v>
      </c>
      <c r="J200" s="2">
        <v>0</v>
      </c>
      <c r="K200" s="2">
        <v>18</v>
      </c>
      <c r="L200" s="2" t="s">
        <v>22</v>
      </c>
      <c r="M200" s="4">
        <f t="shared" si="12"/>
        <v>27065.88</v>
      </c>
      <c r="N200" s="4">
        <f t="shared" si="13"/>
        <v>0</v>
      </c>
      <c r="O200" s="4">
        <f t="shared" si="14"/>
        <v>4871.8584000000001</v>
      </c>
      <c r="P200" s="4">
        <f t="shared" si="15"/>
        <v>31937.738400000002</v>
      </c>
    </row>
    <row r="201" spans="1:16" x14ac:dyDescent="0.25">
      <c r="A201" s="5" t="s">
        <v>264</v>
      </c>
      <c r="B201" s="6">
        <v>45479</v>
      </c>
      <c r="C201" s="5" t="s">
        <v>24</v>
      </c>
      <c r="D201" s="5" t="s">
        <v>43</v>
      </c>
      <c r="E201" s="5" t="s">
        <v>35</v>
      </c>
      <c r="F201" s="5" t="s">
        <v>68</v>
      </c>
      <c r="G201" s="5" t="s">
        <v>27</v>
      </c>
      <c r="H201" s="5">
        <v>28</v>
      </c>
      <c r="I201" s="7">
        <v>276.52999999999997</v>
      </c>
      <c r="J201" s="5">
        <v>5</v>
      </c>
      <c r="K201" s="5">
        <v>18</v>
      </c>
      <c r="L201" s="5" t="s">
        <v>22</v>
      </c>
      <c r="M201" s="7">
        <f t="shared" si="12"/>
        <v>7742.8399999999992</v>
      </c>
      <c r="N201" s="7">
        <f t="shared" si="13"/>
        <v>387.142</v>
      </c>
      <c r="O201" s="7">
        <f t="shared" si="14"/>
        <v>1324.0256399999998</v>
      </c>
      <c r="P201" s="7">
        <f t="shared" si="15"/>
        <v>8679.7236400000002</v>
      </c>
    </row>
    <row r="202" spans="1:16" x14ac:dyDescent="0.25">
      <c r="A202" s="2" t="s">
        <v>265</v>
      </c>
      <c r="B202" s="3">
        <v>45439</v>
      </c>
      <c r="C202" s="2" t="s">
        <v>59</v>
      </c>
      <c r="D202" s="2" t="s">
        <v>54</v>
      </c>
      <c r="E202" s="2" t="s">
        <v>35</v>
      </c>
      <c r="F202" s="2" t="s">
        <v>36</v>
      </c>
      <c r="G202" s="2" t="s">
        <v>27</v>
      </c>
      <c r="H202" s="2">
        <v>36</v>
      </c>
      <c r="I202" s="4">
        <v>397.36</v>
      </c>
      <c r="J202" s="2">
        <v>15</v>
      </c>
      <c r="K202" s="2">
        <v>18</v>
      </c>
      <c r="L202" s="2" t="s">
        <v>32</v>
      </c>
      <c r="M202" s="4">
        <f t="shared" si="12"/>
        <v>14304.960000000001</v>
      </c>
      <c r="N202" s="4">
        <f t="shared" si="13"/>
        <v>2145.7440000000001</v>
      </c>
      <c r="O202" s="4">
        <f t="shared" si="14"/>
        <v>2188.65888</v>
      </c>
      <c r="P202" s="4">
        <f t="shared" si="15"/>
        <v>14347.874879999999</v>
      </c>
    </row>
    <row r="203" spans="1:16" x14ac:dyDescent="0.25">
      <c r="A203" s="5" t="s">
        <v>266</v>
      </c>
      <c r="B203" s="6">
        <v>45577</v>
      </c>
      <c r="C203" s="5" t="s">
        <v>24</v>
      </c>
      <c r="D203" s="5" t="s">
        <v>43</v>
      </c>
      <c r="E203" s="5" t="s">
        <v>19</v>
      </c>
      <c r="F203" s="5" t="s">
        <v>157</v>
      </c>
      <c r="G203" s="5" t="s">
        <v>27</v>
      </c>
      <c r="H203" s="5">
        <v>7</v>
      </c>
      <c r="I203" s="7">
        <v>793.87</v>
      </c>
      <c r="J203" s="5">
        <v>5</v>
      </c>
      <c r="K203" s="5">
        <v>18</v>
      </c>
      <c r="L203" s="5" t="s">
        <v>22</v>
      </c>
      <c r="M203" s="7">
        <f t="shared" si="12"/>
        <v>5557.09</v>
      </c>
      <c r="N203" s="7">
        <f t="shared" si="13"/>
        <v>277.85450000000003</v>
      </c>
      <c r="O203" s="7">
        <f t="shared" si="14"/>
        <v>950.26238999999998</v>
      </c>
      <c r="P203" s="7">
        <f t="shared" si="15"/>
        <v>6229.4978899999996</v>
      </c>
    </row>
    <row r="204" spans="1:16" x14ac:dyDescent="0.25">
      <c r="A204" s="2" t="s">
        <v>267</v>
      </c>
      <c r="B204" s="3">
        <v>45534</v>
      </c>
      <c r="C204" s="2" t="s">
        <v>47</v>
      </c>
      <c r="D204" s="2" t="s">
        <v>54</v>
      </c>
      <c r="E204" s="2" t="s">
        <v>38</v>
      </c>
      <c r="F204" s="2" t="s">
        <v>96</v>
      </c>
      <c r="G204" s="2" t="s">
        <v>27</v>
      </c>
      <c r="H204" s="2">
        <v>3</v>
      </c>
      <c r="I204" s="4">
        <v>282.7</v>
      </c>
      <c r="J204" s="2">
        <v>5</v>
      </c>
      <c r="K204" s="2">
        <v>18</v>
      </c>
      <c r="L204" s="2" t="s">
        <v>22</v>
      </c>
      <c r="M204" s="4">
        <f t="shared" si="12"/>
        <v>848.09999999999991</v>
      </c>
      <c r="N204" s="4">
        <f t="shared" si="13"/>
        <v>42.405000000000001</v>
      </c>
      <c r="O204" s="4">
        <f t="shared" si="14"/>
        <v>145.02509999999998</v>
      </c>
      <c r="P204" s="4">
        <f t="shared" si="15"/>
        <v>950.72009999999989</v>
      </c>
    </row>
    <row r="205" spans="1:16" x14ac:dyDescent="0.25">
      <c r="A205" s="5" t="s">
        <v>268</v>
      </c>
      <c r="B205" s="6">
        <v>45445</v>
      </c>
      <c r="C205" s="5" t="s">
        <v>47</v>
      </c>
      <c r="D205" s="5" t="s">
        <v>34</v>
      </c>
      <c r="E205" s="5" t="s">
        <v>29</v>
      </c>
      <c r="F205" s="5" t="s">
        <v>74</v>
      </c>
      <c r="G205" s="5" t="s">
        <v>55</v>
      </c>
      <c r="H205" s="5">
        <v>21</v>
      </c>
      <c r="I205" s="7">
        <v>333.38</v>
      </c>
      <c r="J205" s="5">
        <v>15</v>
      </c>
      <c r="K205" s="5">
        <v>18</v>
      </c>
      <c r="L205" s="5" t="s">
        <v>32</v>
      </c>
      <c r="M205" s="7">
        <f t="shared" si="12"/>
        <v>7000.98</v>
      </c>
      <c r="N205" s="7">
        <f t="shared" si="13"/>
        <v>1050.1469999999999</v>
      </c>
      <c r="O205" s="7">
        <f t="shared" si="14"/>
        <v>1071.14994</v>
      </c>
      <c r="P205" s="7">
        <f t="shared" si="15"/>
        <v>7021.9829399999999</v>
      </c>
    </row>
    <row r="206" spans="1:16" x14ac:dyDescent="0.25">
      <c r="A206" s="2" t="s">
        <v>269</v>
      </c>
      <c r="B206" s="3">
        <v>45505</v>
      </c>
      <c r="C206" s="2" t="s">
        <v>24</v>
      </c>
      <c r="D206" s="2" t="s">
        <v>43</v>
      </c>
      <c r="E206" s="2" t="s">
        <v>29</v>
      </c>
      <c r="F206" s="2" t="s">
        <v>41</v>
      </c>
      <c r="G206" s="2" t="s">
        <v>31</v>
      </c>
      <c r="H206" s="2">
        <v>24</v>
      </c>
      <c r="I206" s="4">
        <v>669.17</v>
      </c>
      <c r="J206" s="2">
        <v>0</v>
      </c>
      <c r="K206" s="2">
        <v>18</v>
      </c>
      <c r="L206" s="2" t="s">
        <v>22</v>
      </c>
      <c r="M206" s="4">
        <f t="shared" si="12"/>
        <v>16060.079999999998</v>
      </c>
      <c r="N206" s="4">
        <f t="shared" si="13"/>
        <v>0</v>
      </c>
      <c r="O206" s="4">
        <f t="shared" si="14"/>
        <v>2890.8143999999993</v>
      </c>
      <c r="P206" s="4">
        <f t="shared" si="15"/>
        <v>18950.894399999997</v>
      </c>
    </row>
    <row r="207" spans="1:16" x14ac:dyDescent="0.25">
      <c r="A207" s="5" t="s">
        <v>270</v>
      </c>
      <c r="B207" s="6">
        <v>45590</v>
      </c>
      <c r="C207" s="5" t="s">
        <v>59</v>
      </c>
      <c r="D207" s="5" t="s">
        <v>52</v>
      </c>
      <c r="E207" s="5" t="s">
        <v>29</v>
      </c>
      <c r="F207" s="5" t="s">
        <v>41</v>
      </c>
      <c r="G207" s="5" t="s">
        <v>55</v>
      </c>
      <c r="H207" s="5">
        <v>37</v>
      </c>
      <c r="I207" s="7">
        <v>462.81</v>
      </c>
      <c r="J207" s="5">
        <v>0</v>
      </c>
      <c r="K207" s="5">
        <v>18</v>
      </c>
      <c r="L207" s="5" t="s">
        <v>32</v>
      </c>
      <c r="M207" s="7">
        <f t="shared" si="12"/>
        <v>17123.97</v>
      </c>
      <c r="N207" s="7">
        <f t="shared" si="13"/>
        <v>0</v>
      </c>
      <c r="O207" s="7">
        <f t="shared" si="14"/>
        <v>3082.3146000000002</v>
      </c>
      <c r="P207" s="7">
        <f t="shared" si="15"/>
        <v>20206.284600000003</v>
      </c>
    </row>
    <row r="208" spans="1:16" x14ac:dyDescent="0.25">
      <c r="A208" s="2" t="s">
        <v>271</v>
      </c>
      <c r="B208" s="3">
        <v>45389</v>
      </c>
      <c r="C208" s="2" t="s">
        <v>24</v>
      </c>
      <c r="D208" s="2" t="s">
        <v>34</v>
      </c>
      <c r="E208" s="2" t="s">
        <v>35</v>
      </c>
      <c r="F208" s="2" t="s">
        <v>88</v>
      </c>
      <c r="G208" s="2" t="s">
        <v>21</v>
      </c>
      <c r="H208" s="2">
        <v>37</v>
      </c>
      <c r="I208" s="4">
        <v>1896.93</v>
      </c>
      <c r="J208" s="2">
        <v>0</v>
      </c>
      <c r="K208" s="2">
        <v>18</v>
      </c>
      <c r="L208" s="2" t="s">
        <v>22</v>
      </c>
      <c r="M208" s="4">
        <f t="shared" si="12"/>
        <v>70186.41</v>
      </c>
      <c r="N208" s="4">
        <f t="shared" si="13"/>
        <v>0</v>
      </c>
      <c r="O208" s="4">
        <f t="shared" si="14"/>
        <v>12633.553800000002</v>
      </c>
      <c r="P208" s="4">
        <f t="shared" si="15"/>
        <v>82819.963799999998</v>
      </c>
    </row>
    <row r="209" spans="1:16" x14ac:dyDescent="0.25">
      <c r="A209" s="5" t="s">
        <v>272</v>
      </c>
      <c r="B209" s="6">
        <v>45605</v>
      </c>
      <c r="C209" s="5" t="s">
        <v>17</v>
      </c>
      <c r="D209" s="5" t="s">
        <v>54</v>
      </c>
      <c r="E209" s="5" t="s">
        <v>19</v>
      </c>
      <c r="F209" s="5" t="s">
        <v>157</v>
      </c>
      <c r="G209" s="5" t="s">
        <v>21</v>
      </c>
      <c r="H209" s="5">
        <v>45</v>
      </c>
      <c r="I209" s="7">
        <v>415.74</v>
      </c>
      <c r="J209" s="5">
        <v>15</v>
      </c>
      <c r="K209" s="5">
        <v>18</v>
      </c>
      <c r="L209" s="5" t="s">
        <v>49</v>
      </c>
      <c r="M209" s="7">
        <f t="shared" si="12"/>
        <v>18708.3</v>
      </c>
      <c r="N209" s="7">
        <f t="shared" si="13"/>
        <v>2806.2449999999999</v>
      </c>
      <c r="O209" s="7">
        <f t="shared" si="14"/>
        <v>2862.3698999999997</v>
      </c>
      <c r="P209" s="7">
        <f t="shared" si="15"/>
        <v>18764.424899999998</v>
      </c>
    </row>
    <row r="210" spans="1:16" x14ac:dyDescent="0.25">
      <c r="A210" s="2" t="s">
        <v>273</v>
      </c>
      <c r="B210" s="3">
        <v>45527</v>
      </c>
      <c r="C210" s="2" t="s">
        <v>47</v>
      </c>
      <c r="D210" s="2" t="s">
        <v>18</v>
      </c>
      <c r="E210" s="2" t="s">
        <v>35</v>
      </c>
      <c r="F210" s="2" t="s">
        <v>82</v>
      </c>
      <c r="G210" s="2" t="s">
        <v>55</v>
      </c>
      <c r="H210" s="2">
        <v>34</v>
      </c>
      <c r="I210" s="4">
        <v>759.88</v>
      </c>
      <c r="J210" s="2">
        <v>0</v>
      </c>
      <c r="K210" s="2">
        <v>18</v>
      </c>
      <c r="L210" s="2" t="s">
        <v>49</v>
      </c>
      <c r="M210" s="4">
        <f t="shared" si="12"/>
        <v>25835.919999999998</v>
      </c>
      <c r="N210" s="4">
        <f t="shared" si="13"/>
        <v>0</v>
      </c>
      <c r="O210" s="4">
        <f t="shared" si="14"/>
        <v>4650.4655999999995</v>
      </c>
      <c r="P210" s="4">
        <f t="shared" si="15"/>
        <v>30486.385599999998</v>
      </c>
    </row>
    <row r="211" spans="1:16" x14ac:dyDescent="0.25">
      <c r="A211" s="5" t="s">
        <v>274</v>
      </c>
      <c r="B211" s="6">
        <v>45407</v>
      </c>
      <c r="C211" s="5" t="s">
        <v>17</v>
      </c>
      <c r="D211" s="5" t="s">
        <v>43</v>
      </c>
      <c r="E211" s="5" t="s">
        <v>29</v>
      </c>
      <c r="F211" s="5" t="s">
        <v>41</v>
      </c>
      <c r="G211" s="5" t="s">
        <v>31</v>
      </c>
      <c r="H211" s="5">
        <v>16</v>
      </c>
      <c r="I211" s="7">
        <v>565.22</v>
      </c>
      <c r="J211" s="5">
        <v>5</v>
      </c>
      <c r="K211" s="5">
        <v>18</v>
      </c>
      <c r="L211" s="5" t="s">
        <v>22</v>
      </c>
      <c r="M211" s="7">
        <f t="shared" si="12"/>
        <v>9043.52</v>
      </c>
      <c r="N211" s="7">
        <f t="shared" si="13"/>
        <v>452.17600000000004</v>
      </c>
      <c r="O211" s="7">
        <f t="shared" si="14"/>
        <v>1546.4419200000002</v>
      </c>
      <c r="P211" s="7">
        <f t="shared" si="15"/>
        <v>10137.785920000002</v>
      </c>
    </row>
    <row r="212" spans="1:16" x14ac:dyDescent="0.25">
      <c r="A212" s="2" t="s">
        <v>275</v>
      </c>
      <c r="B212" s="3">
        <v>45432</v>
      </c>
      <c r="C212" s="2" t="s">
        <v>47</v>
      </c>
      <c r="D212" s="2" t="s">
        <v>52</v>
      </c>
      <c r="E212" s="2" t="s">
        <v>38</v>
      </c>
      <c r="F212" s="2" t="s">
        <v>135</v>
      </c>
      <c r="G212" s="2" t="s">
        <v>55</v>
      </c>
      <c r="H212" s="2">
        <v>23</v>
      </c>
      <c r="I212" s="4">
        <v>1125.3699999999999</v>
      </c>
      <c r="J212" s="2">
        <v>20</v>
      </c>
      <c r="K212" s="2">
        <v>18</v>
      </c>
      <c r="L212" s="2" t="s">
        <v>49</v>
      </c>
      <c r="M212" s="4">
        <f t="shared" si="12"/>
        <v>25883.51</v>
      </c>
      <c r="N212" s="4">
        <f t="shared" si="13"/>
        <v>5176.7019999999993</v>
      </c>
      <c r="O212" s="4">
        <f t="shared" si="14"/>
        <v>3727.2254399999993</v>
      </c>
      <c r="P212" s="4">
        <f t="shared" si="15"/>
        <v>24434.033439999996</v>
      </c>
    </row>
    <row r="213" spans="1:16" x14ac:dyDescent="0.25">
      <c r="A213" s="5" t="s">
        <v>276</v>
      </c>
      <c r="B213" s="6">
        <v>45332</v>
      </c>
      <c r="C213" s="5" t="s">
        <v>24</v>
      </c>
      <c r="D213" s="5" t="s">
        <v>54</v>
      </c>
      <c r="E213" s="5" t="s">
        <v>38</v>
      </c>
      <c r="F213" s="5" t="s">
        <v>48</v>
      </c>
      <c r="G213" s="5" t="s">
        <v>55</v>
      </c>
      <c r="H213" s="5">
        <v>19</v>
      </c>
      <c r="I213" s="7">
        <v>93.71</v>
      </c>
      <c r="J213" s="5">
        <v>20</v>
      </c>
      <c r="K213" s="5">
        <v>18</v>
      </c>
      <c r="L213" s="5" t="s">
        <v>22</v>
      </c>
      <c r="M213" s="7">
        <f t="shared" si="12"/>
        <v>1780.4899999999998</v>
      </c>
      <c r="N213" s="7">
        <f t="shared" si="13"/>
        <v>356.09799999999996</v>
      </c>
      <c r="O213" s="7">
        <f t="shared" si="14"/>
        <v>256.39055999999999</v>
      </c>
      <c r="P213" s="7">
        <f t="shared" si="15"/>
        <v>1680.7825599999999</v>
      </c>
    </row>
    <row r="214" spans="1:16" x14ac:dyDescent="0.25">
      <c r="A214" s="2" t="s">
        <v>277</v>
      </c>
      <c r="B214" s="3">
        <v>45648</v>
      </c>
      <c r="C214" s="2" t="s">
        <v>17</v>
      </c>
      <c r="D214" s="2" t="s">
        <v>52</v>
      </c>
      <c r="E214" s="2" t="s">
        <v>38</v>
      </c>
      <c r="F214" s="2" t="s">
        <v>70</v>
      </c>
      <c r="G214" s="2" t="s">
        <v>21</v>
      </c>
      <c r="H214" s="2">
        <v>35</v>
      </c>
      <c r="I214" s="4">
        <v>549.54999999999995</v>
      </c>
      <c r="J214" s="2">
        <v>15</v>
      </c>
      <c r="K214" s="2">
        <v>18</v>
      </c>
      <c r="L214" s="2" t="s">
        <v>22</v>
      </c>
      <c r="M214" s="4">
        <f t="shared" si="12"/>
        <v>19234.25</v>
      </c>
      <c r="N214" s="4">
        <f t="shared" si="13"/>
        <v>2885.1374999999998</v>
      </c>
      <c r="O214" s="4">
        <f t="shared" si="14"/>
        <v>2942.8402499999997</v>
      </c>
      <c r="P214" s="4">
        <f t="shared" si="15"/>
        <v>19291.95275</v>
      </c>
    </row>
    <row r="215" spans="1:16" x14ac:dyDescent="0.25">
      <c r="A215" s="5" t="s">
        <v>278</v>
      </c>
      <c r="B215" s="6">
        <v>45618</v>
      </c>
      <c r="C215" s="5" t="s">
        <v>59</v>
      </c>
      <c r="D215" s="5" t="s">
        <v>18</v>
      </c>
      <c r="E215" s="5" t="s">
        <v>38</v>
      </c>
      <c r="F215" s="5" t="s">
        <v>96</v>
      </c>
      <c r="G215" s="5" t="s">
        <v>21</v>
      </c>
      <c r="H215" s="5">
        <v>43</v>
      </c>
      <c r="I215" s="7">
        <v>1811.32</v>
      </c>
      <c r="J215" s="5">
        <v>0</v>
      </c>
      <c r="K215" s="5">
        <v>18</v>
      </c>
      <c r="L215" s="5" t="s">
        <v>22</v>
      </c>
      <c r="M215" s="7">
        <f t="shared" si="12"/>
        <v>77886.759999999995</v>
      </c>
      <c r="N215" s="7">
        <f t="shared" si="13"/>
        <v>0</v>
      </c>
      <c r="O215" s="7">
        <f t="shared" si="14"/>
        <v>14019.6168</v>
      </c>
      <c r="P215" s="7">
        <f t="shared" si="15"/>
        <v>91906.376799999998</v>
      </c>
    </row>
    <row r="216" spans="1:16" x14ac:dyDescent="0.25">
      <c r="A216" s="2" t="s">
        <v>279</v>
      </c>
      <c r="B216" s="3">
        <v>45294</v>
      </c>
      <c r="C216" s="2" t="s">
        <v>59</v>
      </c>
      <c r="D216" s="2" t="s">
        <v>54</v>
      </c>
      <c r="E216" s="2" t="s">
        <v>44</v>
      </c>
      <c r="F216" s="2" t="s">
        <v>45</v>
      </c>
      <c r="G216" s="2" t="s">
        <v>55</v>
      </c>
      <c r="H216" s="2">
        <v>7</v>
      </c>
      <c r="I216" s="4">
        <v>1365.57</v>
      </c>
      <c r="J216" s="2">
        <v>0</v>
      </c>
      <c r="K216" s="2">
        <v>18</v>
      </c>
      <c r="L216" s="2" t="s">
        <v>49</v>
      </c>
      <c r="M216" s="4">
        <f t="shared" si="12"/>
        <v>9558.99</v>
      </c>
      <c r="N216" s="4">
        <f t="shared" si="13"/>
        <v>0</v>
      </c>
      <c r="O216" s="4">
        <f t="shared" si="14"/>
        <v>1720.6182000000001</v>
      </c>
      <c r="P216" s="4">
        <f t="shared" si="15"/>
        <v>11279.608200000001</v>
      </c>
    </row>
    <row r="217" spans="1:16" x14ac:dyDescent="0.25">
      <c r="A217" s="5" t="s">
        <v>280</v>
      </c>
      <c r="B217" s="6">
        <v>45438</v>
      </c>
      <c r="C217" s="5" t="s">
        <v>24</v>
      </c>
      <c r="D217" s="5" t="s">
        <v>52</v>
      </c>
      <c r="E217" s="5" t="s">
        <v>29</v>
      </c>
      <c r="F217" s="5" t="s">
        <v>30</v>
      </c>
      <c r="G217" s="5" t="s">
        <v>31</v>
      </c>
      <c r="H217" s="5">
        <v>49</v>
      </c>
      <c r="I217" s="7">
        <v>1928.19</v>
      </c>
      <c r="J217" s="5">
        <v>5</v>
      </c>
      <c r="K217" s="5">
        <v>18</v>
      </c>
      <c r="L217" s="5" t="s">
        <v>22</v>
      </c>
      <c r="M217" s="7">
        <f t="shared" si="12"/>
        <v>94481.31</v>
      </c>
      <c r="N217" s="7">
        <f t="shared" si="13"/>
        <v>4724.0654999999997</v>
      </c>
      <c r="O217" s="7">
        <f t="shared" si="14"/>
        <v>16156.30401</v>
      </c>
      <c r="P217" s="7">
        <f t="shared" si="15"/>
        <v>105913.54850999999</v>
      </c>
    </row>
    <row r="218" spans="1:16" x14ac:dyDescent="0.25">
      <c r="A218" s="2" t="s">
        <v>281</v>
      </c>
      <c r="B218" s="3">
        <v>45495</v>
      </c>
      <c r="C218" s="2" t="s">
        <v>47</v>
      </c>
      <c r="D218" s="2" t="s">
        <v>25</v>
      </c>
      <c r="E218" s="2" t="s">
        <v>19</v>
      </c>
      <c r="F218" s="2" t="s">
        <v>20</v>
      </c>
      <c r="G218" s="2" t="s">
        <v>21</v>
      </c>
      <c r="H218" s="2">
        <v>12</v>
      </c>
      <c r="I218" s="4">
        <v>1868.51</v>
      </c>
      <c r="J218" s="2">
        <v>0</v>
      </c>
      <c r="K218" s="2">
        <v>18</v>
      </c>
      <c r="L218" s="2" t="s">
        <v>49</v>
      </c>
      <c r="M218" s="4">
        <f t="shared" si="12"/>
        <v>22422.12</v>
      </c>
      <c r="N218" s="4">
        <f t="shared" si="13"/>
        <v>0</v>
      </c>
      <c r="O218" s="4">
        <f t="shared" si="14"/>
        <v>4035.9815999999996</v>
      </c>
      <c r="P218" s="4">
        <f t="shared" si="15"/>
        <v>26458.101599999998</v>
      </c>
    </row>
    <row r="219" spans="1:16" x14ac:dyDescent="0.25">
      <c r="A219" s="5" t="s">
        <v>282</v>
      </c>
      <c r="B219" s="6">
        <v>45437</v>
      </c>
      <c r="C219" s="5" t="s">
        <v>17</v>
      </c>
      <c r="D219" s="5" t="s">
        <v>25</v>
      </c>
      <c r="E219" s="5" t="s">
        <v>35</v>
      </c>
      <c r="F219" s="5" t="s">
        <v>88</v>
      </c>
      <c r="G219" s="5" t="s">
        <v>27</v>
      </c>
      <c r="H219" s="5">
        <v>37</v>
      </c>
      <c r="I219" s="7">
        <v>1209.54</v>
      </c>
      <c r="J219" s="5">
        <v>5</v>
      </c>
      <c r="K219" s="5">
        <v>18</v>
      </c>
      <c r="L219" s="5" t="s">
        <v>22</v>
      </c>
      <c r="M219" s="7">
        <f t="shared" si="12"/>
        <v>44752.979999999996</v>
      </c>
      <c r="N219" s="7">
        <f t="shared" si="13"/>
        <v>2237.6489999999994</v>
      </c>
      <c r="O219" s="7">
        <f t="shared" si="14"/>
        <v>7652.7595799999999</v>
      </c>
      <c r="P219" s="7">
        <f t="shared" si="15"/>
        <v>50168.090579999996</v>
      </c>
    </row>
    <row r="220" spans="1:16" x14ac:dyDescent="0.25">
      <c r="A220" s="2" t="s">
        <v>283</v>
      </c>
      <c r="B220" s="3">
        <v>45375</v>
      </c>
      <c r="C220" s="2" t="s">
        <v>24</v>
      </c>
      <c r="D220" s="2" t="s">
        <v>34</v>
      </c>
      <c r="E220" s="2" t="s">
        <v>35</v>
      </c>
      <c r="F220" s="2" t="s">
        <v>68</v>
      </c>
      <c r="G220" s="2" t="s">
        <v>31</v>
      </c>
      <c r="H220" s="2">
        <v>13</v>
      </c>
      <c r="I220" s="4">
        <v>1619.54</v>
      </c>
      <c r="J220" s="2">
        <v>5</v>
      </c>
      <c r="K220" s="2">
        <v>18</v>
      </c>
      <c r="L220" s="2" t="s">
        <v>22</v>
      </c>
      <c r="M220" s="4">
        <f t="shared" si="12"/>
        <v>21054.02</v>
      </c>
      <c r="N220" s="4">
        <f t="shared" si="13"/>
        <v>1052.701</v>
      </c>
      <c r="O220" s="4">
        <f t="shared" si="14"/>
        <v>3600.2374199999995</v>
      </c>
      <c r="P220" s="4">
        <f t="shared" si="15"/>
        <v>23601.556420000001</v>
      </c>
    </row>
    <row r="221" spans="1:16" x14ac:dyDescent="0.25">
      <c r="A221" s="5" t="s">
        <v>284</v>
      </c>
      <c r="B221" s="6">
        <v>45381</v>
      </c>
      <c r="C221" s="5" t="s">
        <v>47</v>
      </c>
      <c r="D221" s="5" t="s">
        <v>25</v>
      </c>
      <c r="E221" s="5" t="s">
        <v>35</v>
      </c>
      <c r="F221" s="5" t="s">
        <v>36</v>
      </c>
      <c r="G221" s="5" t="s">
        <v>55</v>
      </c>
      <c r="H221" s="5">
        <v>37</v>
      </c>
      <c r="I221" s="7">
        <v>1352.06</v>
      </c>
      <c r="J221" s="5">
        <v>0</v>
      </c>
      <c r="K221" s="5">
        <v>18</v>
      </c>
      <c r="L221" s="5" t="s">
        <v>22</v>
      </c>
      <c r="M221" s="7">
        <f t="shared" si="12"/>
        <v>50026.22</v>
      </c>
      <c r="N221" s="7">
        <f t="shared" si="13"/>
        <v>0</v>
      </c>
      <c r="O221" s="7">
        <f t="shared" si="14"/>
        <v>9004.7196000000004</v>
      </c>
      <c r="P221" s="7">
        <f t="shared" si="15"/>
        <v>59030.939599999998</v>
      </c>
    </row>
    <row r="222" spans="1:16" x14ac:dyDescent="0.25">
      <c r="A222" s="2" t="s">
        <v>285</v>
      </c>
      <c r="B222" s="3">
        <v>45536</v>
      </c>
      <c r="C222" s="2" t="s">
        <v>24</v>
      </c>
      <c r="D222" s="2" t="s">
        <v>64</v>
      </c>
      <c r="E222" s="2" t="s">
        <v>29</v>
      </c>
      <c r="F222" s="2" t="s">
        <v>74</v>
      </c>
      <c r="G222" s="2" t="s">
        <v>27</v>
      </c>
      <c r="H222" s="2">
        <v>43</v>
      </c>
      <c r="I222" s="4">
        <v>199.82</v>
      </c>
      <c r="J222" s="2">
        <v>0</v>
      </c>
      <c r="K222" s="2">
        <v>18</v>
      </c>
      <c r="L222" s="2" t="s">
        <v>49</v>
      </c>
      <c r="M222" s="4">
        <f t="shared" si="12"/>
        <v>8592.26</v>
      </c>
      <c r="N222" s="4">
        <f t="shared" si="13"/>
        <v>0</v>
      </c>
      <c r="O222" s="4">
        <f t="shared" si="14"/>
        <v>1546.6068</v>
      </c>
      <c r="P222" s="4">
        <f t="shared" si="15"/>
        <v>10138.8668</v>
      </c>
    </row>
    <row r="223" spans="1:16" x14ac:dyDescent="0.25">
      <c r="A223" s="5" t="s">
        <v>286</v>
      </c>
      <c r="B223" s="6">
        <v>45446</v>
      </c>
      <c r="C223" s="5" t="s">
        <v>59</v>
      </c>
      <c r="D223" s="5" t="s">
        <v>43</v>
      </c>
      <c r="E223" s="5" t="s">
        <v>38</v>
      </c>
      <c r="F223" s="5" t="s">
        <v>96</v>
      </c>
      <c r="G223" s="5" t="s">
        <v>31</v>
      </c>
      <c r="H223" s="5">
        <v>29</v>
      </c>
      <c r="I223" s="7">
        <v>1509.98</v>
      </c>
      <c r="J223" s="5">
        <v>5</v>
      </c>
      <c r="K223" s="5">
        <v>18</v>
      </c>
      <c r="L223" s="5" t="s">
        <v>22</v>
      </c>
      <c r="M223" s="7">
        <f t="shared" si="12"/>
        <v>43789.42</v>
      </c>
      <c r="N223" s="7">
        <f t="shared" si="13"/>
        <v>2189.4709999999995</v>
      </c>
      <c r="O223" s="7">
        <f t="shared" si="14"/>
        <v>7487.9908200000009</v>
      </c>
      <c r="P223" s="7">
        <f t="shared" si="15"/>
        <v>49087.93982</v>
      </c>
    </row>
    <row r="224" spans="1:16" x14ac:dyDescent="0.25">
      <c r="A224" s="2" t="s">
        <v>287</v>
      </c>
      <c r="B224" s="3">
        <v>45449</v>
      </c>
      <c r="C224" s="2" t="s">
        <v>59</v>
      </c>
      <c r="D224" s="2" t="s">
        <v>43</v>
      </c>
      <c r="E224" s="2" t="s">
        <v>29</v>
      </c>
      <c r="F224" s="2" t="s">
        <v>65</v>
      </c>
      <c r="G224" s="2" t="s">
        <v>55</v>
      </c>
      <c r="H224" s="2">
        <v>4</v>
      </c>
      <c r="I224" s="4">
        <v>1338.89</v>
      </c>
      <c r="J224" s="2">
        <v>10</v>
      </c>
      <c r="K224" s="2">
        <v>18</v>
      </c>
      <c r="L224" s="2" t="s">
        <v>22</v>
      </c>
      <c r="M224" s="4">
        <f t="shared" si="12"/>
        <v>5355.56</v>
      </c>
      <c r="N224" s="4">
        <f t="shared" si="13"/>
        <v>535.55600000000004</v>
      </c>
      <c r="O224" s="4">
        <f t="shared" si="14"/>
        <v>867.60072000000014</v>
      </c>
      <c r="P224" s="4">
        <f t="shared" si="15"/>
        <v>5687.6047200000012</v>
      </c>
    </row>
    <row r="225" spans="1:16" x14ac:dyDescent="0.25">
      <c r="A225" s="5" t="s">
        <v>288</v>
      </c>
      <c r="B225" s="6">
        <v>45536</v>
      </c>
      <c r="C225" s="5" t="s">
        <v>17</v>
      </c>
      <c r="D225" s="5" t="s">
        <v>60</v>
      </c>
      <c r="E225" s="5" t="s">
        <v>44</v>
      </c>
      <c r="F225" s="5" t="s">
        <v>91</v>
      </c>
      <c r="G225" s="5" t="s">
        <v>55</v>
      </c>
      <c r="H225" s="5">
        <v>40</v>
      </c>
      <c r="I225" s="7">
        <v>449.49</v>
      </c>
      <c r="J225" s="5">
        <v>0</v>
      </c>
      <c r="K225" s="5">
        <v>18</v>
      </c>
      <c r="L225" s="5" t="s">
        <v>22</v>
      </c>
      <c r="M225" s="7">
        <f t="shared" si="12"/>
        <v>17979.599999999999</v>
      </c>
      <c r="N225" s="7">
        <f t="shared" si="13"/>
        <v>0</v>
      </c>
      <c r="O225" s="7">
        <f t="shared" si="14"/>
        <v>3236.328</v>
      </c>
      <c r="P225" s="7">
        <f t="shared" si="15"/>
        <v>21215.928</v>
      </c>
    </row>
    <row r="226" spans="1:16" x14ac:dyDescent="0.25">
      <c r="A226" s="2" t="s">
        <v>289</v>
      </c>
      <c r="B226" s="3">
        <v>45640</v>
      </c>
      <c r="C226" s="2" t="s">
        <v>17</v>
      </c>
      <c r="D226" s="2" t="s">
        <v>54</v>
      </c>
      <c r="E226" s="2" t="s">
        <v>44</v>
      </c>
      <c r="F226" s="2" t="s">
        <v>91</v>
      </c>
      <c r="G226" s="2" t="s">
        <v>31</v>
      </c>
      <c r="H226" s="2">
        <v>43</v>
      </c>
      <c r="I226" s="4">
        <v>1652.95</v>
      </c>
      <c r="J226" s="2">
        <v>0</v>
      </c>
      <c r="K226" s="2">
        <v>18</v>
      </c>
      <c r="L226" s="2" t="s">
        <v>32</v>
      </c>
      <c r="M226" s="4">
        <f t="shared" si="12"/>
        <v>71076.850000000006</v>
      </c>
      <c r="N226" s="4">
        <f t="shared" si="13"/>
        <v>0</v>
      </c>
      <c r="O226" s="4">
        <f t="shared" si="14"/>
        <v>12793.833000000001</v>
      </c>
      <c r="P226" s="4">
        <f t="shared" si="15"/>
        <v>83870.683000000005</v>
      </c>
    </row>
    <row r="227" spans="1:16" x14ac:dyDescent="0.25">
      <c r="A227" s="5" t="s">
        <v>290</v>
      </c>
      <c r="B227" s="6">
        <v>45550</v>
      </c>
      <c r="C227" s="5" t="s">
        <v>24</v>
      </c>
      <c r="D227" s="5" t="s">
        <v>64</v>
      </c>
      <c r="E227" s="5" t="s">
        <v>29</v>
      </c>
      <c r="F227" s="5" t="s">
        <v>80</v>
      </c>
      <c r="G227" s="5" t="s">
        <v>27</v>
      </c>
      <c r="H227" s="5">
        <v>8</v>
      </c>
      <c r="I227" s="7">
        <v>132.9</v>
      </c>
      <c r="J227" s="5">
        <v>15</v>
      </c>
      <c r="K227" s="5">
        <v>18</v>
      </c>
      <c r="L227" s="5" t="s">
        <v>32</v>
      </c>
      <c r="M227" s="7">
        <f t="shared" si="12"/>
        <v>1063.2</v>
      </c>
      <c r="N227" s="7">
        <f t="shared" si="13"/>
        <v>159.47999999999999</v>
      </c>
      <c r="O227" s="7">
        <f t="shared" si="14"/>
        <v>162.6696</v>
      </c>
      <c r="P227" s="7">
        <f t="shared" si="15"/>
        <v>1066.3896</v>
      </c>
    </row>
    <row r="228" spans="1:16" x14ac:dyDescent="0.25">
      <c r="A228" s="2" t="s">
        <v>291</v>
      </c>
      <c r="B228" s="3">
        <v>45590</v>
      </c>
      <c r="C228" s="2" t="s">
        <v>47</v>
      </c>
      <c r="D228" s="2" t="s">
        <v>34</v>
      </c>
      <c r="E228" s="2" t="s">
        <v>44</v>
      </c>
      <c r="F228" s="2" t="s">
        <v>141</v>
      </c>
      <c r="G228" s="2" t="s">
        <v>55</v>
      </c>
      <c r="H228" s="2">
        <v>29</v>
      </c>
      <c r="I228" s="4">
        <v>241.32</v>
      </c>
      <c r="J228" s="2">
        <v>0</v>
      </c>
      <c r="K228" s="2">
        <v>18</v>
      </c>
      <c r="L228" s="2" t="s">
        <v>32</v>
      </c>
      <c r="M228" s="4">
        <f t="shared" si="12"/>
        <v>6998.28</v>
      </c>
      <c r="N228" s="4">
        <f t="shared" si="13"/>
        <v>0</v>
      </c>
      <c r="O228" s="4">
        <f t="shared" si="14"/>
        <v>1259.6904</v>
      </c>
      <c r="P228" s="4">
        <f t="shared" si="15"/>
        <v>8257.9704000000002</v>
      </c>
    </row>
    <row r="229" spans="1:16" x14ac:dyDescent="0.25">
      <c r="A229" s="5" t="s">
        <v>292</v>
      </c>
      <c r="B229" s="6">
        <v>45321</v>
      </c>
      <c r="C229" s="5" t="s">
        <v>24</v>
      </c>
      <c r="D229" s="5" t="s">
        <v>25</v>
      </c>
      <c r="E229" s="5" t="s">
        <v>35</v>
      </c>
      <c r="F229" s="5" t="s">
        <v>82</v>
      </c>
      <c r="G229" s="5" t="s">
        <v>31</v>
      </c>
      <c r="H229" s="5">
        <v>33</v>
      </c>
      <c r="I229" s="7">
        <v>836.69</v>
      </c>
      <c r="J229" s="5">
        <v>15</v>
      </c>
      <c r="K229" s="5">
        <v>18</v>
      </c>
      <c r="L229" s="5" t="s">
        <v>22</v>
      </c>
      <c r="M229" s="7">
        <f t="shared" si="12"/>
        <v>27610.77</v>
      </c>
      <c r="N229" s="7">
        <f t="shared" si="13"/>
        <v>4141.6154999999999</v>
      </c>
      <c r="O229" s="7">
        <f t="shared" si="14"/>
        <v>4224.4478100000006</v>
      </c>
      <c r="P229" s="7">
        <f t="shared" si="15"/>
        <v>27693.602310000002</v>
      </c>
    </row>
    <row r="230" spans="1:16" x14ac:dyDescent="0.25">
      <c r="A230" s="2" t="s">
        <v>293</v>
      </c>
      <c r="B230" s="3">
        <v>45329</v>
      </c>
      <c r="C230" s="2" t="s">
        <v>17</v>
      </c>
      <c r="D230" s="2" t="s">
        <v>25</v>
      </c>
      <c r="E230" s="2" t="s">
        <v>29</v>
      </c>
      <c r="F230" s="2" t="s">
        <v>74</v>
      </c>
      <c r="G230" s="2" t="s">
        <v>31</v>
      </c>
      <c r="H230" s="2">
        <v>1</v>
      </c>
      <c r="I230" s="4">
        <v>1494.15</v>
      </c>
      <c r="J230" s="2">
        <v>15</v>
      </c>
      <c r="K230" s="2">
        <v>18</v>
      </c>
      <c r="L230" s="2" t="s">
        <v>22</v>
      </c>
      <c r="M230" s="4">
        <f t="shared" si="12"/>
        <v>1494.15</v>
      </c>
      <c r="N230" s="4">
        <f t="shared" si="13"/>
        <v>224.1225</v>
      </c>
      <c r="O230" s="4">
        <f t="shared" si="14"/>
        <v>228.60495000000003</v>
      </c>
      <c r="P230" s="4">
        <f t="shared" si="15"/>
        <v>1498.6324500000001</v>
      </c>
    </row>
    <row r="231" spans="1:16" x14ac:dyDescent="0.25">
      <c r="A231" s="5" t="s">
        <v>294</v>
      </c>
      <c r="B231" s="6">
        <v>45384</v>
      </c>
      <c r="C231" s="5" t="s">
        <v>17</v>
      </c>
      <c r="D231" s="5" t="s">
        <v>60</v>
      </c>
      <c r="E231" s="5" t="s">
        <v>19</v>
      </c>
      <c r="F231" s="5" t="s">
        <v>157</v>
      </c>
      <c r="G231" s="5" t="s">
        <v>27</v>
      </c>
      <c r="H231" s="5">
        <v>31</v>
      </c>
      <c r="I231" s="7">
        <v>73.150000000000006</v>
      </c>
      <c r="J231" s="5">
        <v>10</v>
      </c>
      <c r="K231" s="5">
        <v>18</v>
      </c>
      <c r="L231" s="5" t="s">
        <v>22</v>
      </c>
      <c r="M231" s="7">
        <f t="shared" si="12"/>
        <v>2267.65</v>
      </c>
      <c r="N231" s="7">
        <f t="shared" si="13"/>
        <v>226.76499999999999</v>
      </c>
      <c r="O231" s="7">
        <f t="shared" si="14"/>
        <v>367.35930000000008</v>
      </c>
      <c r="P231" s="7">
        <f t="shared" si="15"/>
        <v>2408.2443000000003</v>
      </c>
    </row>
    <row r="232" spans="1:16" x14ac:dyDescent="0.25">
      <c r="A232" s="2" t="s">
        <v>295</v>
      </c>
      <c r="B232" s="3">
        <v>45568</v>
      </c>
      <c r="C232" s="2" t="s">
        <v>17</v>
      </c>
      <c r="D232" s="2" t="s">
        <v>54</v>
      </c>
      <c r="E232" s="2" t="s">
        <v>44</v>
      </c>
      <c r="F232" s="2" t="s">
        <v>91</v>
      </c>
      <c r="G232" s="2" t="s">
        <v>31</v>
      </c>
      <c r="H232" s="2">
        <v>25</v>
      </c>
      <c r="I232" s="4">
        <v>169.7</v>
      </c>
      <c r="J232" s="2">
        <v>20</v>
      </c>
      <c r="K232" s="2">
        <v>18</v>
      </c>
      <c r="L232" s="2" t="s">
        <v>49</v>
      </c>
      <c r="M232" s="4">
        <f t="shared" si="12"/>
        <v>4242.5</v>
      </c>
      <c r="N232" s="4">
        <f t="shared" si="13"/>
        <v>848.5</v>
      </c>
      <c r="O232" s="4">
        <f t="shared" si="14"/>
        <v>610.91999999999996</v>
      </c>
      <c r="P232" s="4">
        <f t="shared" si="15"/>
        <v>4004.92</v>
      </c>
    </row>
    <row r="233" spans="1:16" x14ac:dyDescent="0.25">
      <c r="A233" s="5" t="s">
        <v>296</v>
      </c>
      <c r="B233" s="6">
        <v>45293</v>
      </c>
      <c r="C233" s="5" t="s">
        <v>59</v>
      </c>
      <c r="D233" s="5" t="s">
        <v>34</v>
      </c>
      <c r="E233" s="5" t="s">
        <v>44</v>
      </c>
      <c r="F233" s="5" t="s">
        <v>93</v>
      </c>
      <c r="G233" s="5" t="s">
        <v>31</v>
      </c>
      <c r="H233" s="5">
        <v>9</v>
      </c>
      <c r="I233" s="7">
        <v>1458.44</v>
      </c>
      <c r="J233" s="5">
        <v>0</v>
      </c>
      <c r="K233" s="5">
        <v>18</v>
      </c>
      <c r="L233" s="5" t="s">
        <v>32</v>
      </c>
      <c r="M233" s="7">
        <f t="shared" si="12"/>
        <v>13125.960000000001</v>
      </c>
      <c r="N233" s="7">
        <f t="shared" si="13"/>
        <v>0</v>
      </c>
      <c r="O233" s="7">
        <f t="shared" si="14"/>
        <v>2362.6728000000003</v>
      </c>
      <c r="P233" s="7">
        <f t="shared" si="15"/>
        <v>15488.632800000001</v>
      </c>
    </row>
    <row r="234" spans="1:16" x14ac:dyDescent="0.25">
      <c r="A234" s="2" t="s">
        <v>297</v>
      </c>
      <c r="B234" s="3">
        <v>45433</v>
      </c>
      <c r="C234" s="2" t="s">
        <v>24</v>
      </c>
      <c r="D234" s="2" t="s">
        <v>54</v>
      </c>
      <c r="E234" s="2" t="s">
        <v>19</v>
      </c>
      <c r="F234" s="2" t="s">
        <v>62</v>
      </c>
      <c r="G234" s="2" t="s">
        <v>31</v>
      </c>
      <c r="H234" s="2">
        <v>16</v>
      </c>
      <c r="I234" s="4">
        <v>926.64</v>
      </c>
      <c r="J234" s="2">
        <v>0</v>
      </c>
      <c r="K234" s="2">
        <v>18</v>
      </c>
      <c r="L234" s="2" t="s">
        <v>22</v>
      </c>
      <c r="M234" s="4">
        <f t="shared" si="12"/>
        <v>14826.24</v>
      </c>
      <c r="N234" s="4">
        <f t="shared" si="13"/>
        <v>0</v>
      </c>
      <c r="O234" s="4">
        <f t="shared" si="14"/>
        <v>2668.7231999999999</v>
      </c>
      <c r="P234" s="4">
        <f t="shared" si="15"/>
        <v>17494.963199999998</v>
      </c>
    </row>
    <row r="235" spans="1:16" x14ac:dyDescent="0.25">
      <c r="A235" s="5" t="s">
        <v>298</v>
      </c>
      <c r="B235" s="6">
        <v>45309</v>
      </c>
      <c r="C235" s="5" t="s">
        <v>59</v>
      </c>
      <c r="D235" s="5" t="s">
        <v>54</v>
      </c>
      <c r="E235" s="5" t="s">
        <v>44</v>
      </c>
      <c r="F235" s="5" t="s">
        <v>45</v>
      </c>
      <c r="G235" s="5" t="s">
        <v>27</v>
      </c>
      <c r="H235" s="5">
        <v>14</v>
      </c>
      <c r="I235" s="7">
        <v>143.91</v>
      </c>
      <c r="J235" s="5">
        <v>15</v>
      </c>
      <c r="K235" s="5">
        <v>18</v>
      </c>
      <c r="L235" s="5" t="s">
        <v>22</v>
      </c>
      <c r="M235" s="7">
        <f t="shared" si="12"/>
        <v>2014.74</v>
      </c>
      <c r="N235" s="7">
        <f t="shared" si="13"/>
        <v>302.21100000000001</v>
      </c>
      <c r="O235" s="7">
        <f t="shared" si="14"/>
        <v>308.25522000000001</v>
      </c>
      <c r="P235" s="7">
        <f t="shared" si="15"/>
        <v>2020.78422</v>
      </c>
    </row>
    <row r="236" spans="1:16" x14ac:dyDescent="0.25">
      <c r="A236" s="2" t="s">
        <v>299</v>
      </c>
      <c r="B236" s="3">
        <v>45320</v>
      </c>
      <c r="C236" s="2" t="s">
        <v>59</v>
      </c>
      <c r="D236" s="2" t="s">
        <v>18</v>
      </c>
      <c r="E236" s="2" t="s">
        <v>35</v>
      </c>
      <c r="F236" s="2" t="s">
        <v>68</v>
      </c>
      <c r="G236" s="2" t="s">
        <v>27</v>
      </c>
      <c r="H236" s="2">
        <v>29</v>
      </c>
      <c r="I236" s="4">
        <v>476.34</v>
      </c>
      <c r="J236" s="2">
        <v>0</v>
      </c>
      <c r="K236" s="2">
        <v>18</v>
      </c>
      <c r="L236" s="2" t="s">
        <v>49</v>
      </c>
      <c r="M236" s="4">
        <f t="shared" si="12"/>
        <v>13813.859999999999</v>
      </c>
      <c r="N236" s="4">
        <f t="shared" si="13"/>
        <v>0</v>
      </c>
      <c r="O236" s="4">
        <f t="shared" si="14"/>
        <v>2486.4947999999999</v>
      </c>
      <c r="P236" s="4">
        <f t="shared" si="15"/>
        <v>16300.354799999999</v>
      </c>
    </row>
    <row r="237" spans="1:16" x14ac:dyDescent="0.25">
      <c r="A237" s="5" t="s">
        <v>300</v>
      </c>
      <c r="B237" s="6">
        <v>45413</v>
      </c>
      <c r="C237" s="5" t="s">
        <v>17</v>
      </c>
      <c r="D237" s="5" t="s">
        <v>18</v>
      </c>
      <c r="E237" s="5" t="s">
        <v>44</v>
      </c>
      <c r="F237" s="5" t="s">
        <v>141</v>
      </c>
      <c r="G237" s="5" t="s">
        <v>55</v>
      </c>
      <c r="H237" s="5">
        <v>39</v>
      </c>
      <c r="I237" s="7">
        <v>1547.35</v>
      </c>
      <c r="J237" s="5">
        <v>5</v>
      </c>
      <c r="K237" s="5">
        <v>18</v>
      </c>
      <c r="L237" s="5" t="s">
        <v>32</v>
      </c>
      <c r="M237" s="7">
        <f t="shared" si="12"/>
        <v>60346.649999999994</v>
      </c>
      <c r="N237" s="7">
        <f t="shared" si="13"/>
        <v>3017.3325</v>
      </c>
      <c r="O237" s="7">
        <f t="shared" si="14"/>
        <v>10319.27715</v>
      </c>
      <c r="P237" s="7">
        <f t="shared" si="15"/>
        <v>67648.594649999999</v>
      </c>
    </row>
    <row r="238" spans="1:16" x14ac:dyDescent="0.25">
      <c r="A238" s="2" t="s">
        <v>301</v>
      </c>
      <c r="B238" s="3">
        <v>45381</v>
      </c>
      <c r="C238" s="2" t="s">
        <v>47</v>
      </c>
      <c r="D238" s="2" t="s">
        <v>54</v>
      </c>
      <c r="E238" s="2" t="s">
        <v>38</v>
      </c>
      <c r="F238" s="2" t="s">
        <v>96</v>
      </c>
      <c r="G238" s="2" t="s">
        <v>55</v>
      </c>
      <c r="H238" s="2">
        <v>4</v>
      </c>
      <c r="I238" s="4">
        <v>1117.8699999999999</v>
      </c>
      <c r="J238" s="2">
        <v>15</v>
      </c>
      <c r="K238" s="2">
        <v>18</v>
      </c>
      <c r="L238" s="2" t="s">
        <v>22</v>
      </c>
      <c r="M238" s="4">
        <f t="shared" si="12"/>
        <v>4471.4799999999996</v>
      </c>
      <c r="N238" s="4">
        <f t="shared" si="13"/>
        <v>670.72199999999998</v>
      </c>
      <c r="O238" s="4">
        <f t="shared" si="14"/>
        <v>684.13643999999999</v>
      </c>
      <c r="P238" s="4">
        <f t="shared" si="15"/>
        <v>4484.89444</v>
      </c>
    </row>
    <row r="239" spans="1:16" x14ac:dyDescent="0.25">
      <c r="A239" s="5" t="s">
        <v>302</v>
      </c>
      <c r="B239" s="6">
        <v>45501</v>
      </c>
      <c r="C239" s="5" t="s">
        <v>24</v>
      </c>
      <c r="D239" s="5" t="s">
        <v>25</v>
      </c>
      <c r="E239" s="5" t="s">
        <v>35</v>
      </c>
      <c r="F239" s="5" t="s">
        <v>68</v>
      </c>
      <c r="G239" s="5" t="s">
        <v>55</v>
      </c>
      <c r="H239" s="5">
        <v>34</v>
      </c>
      <c r="I239" s="7">
        <v>644.28</v>
      </c>
      <c r="J239" s="5">
        <v>10</v>
      </c>
      <c r="K239" s="5">
        <v>18</v>
      </c>
      <c r="L239" s="5" t="s">
        <v>49</v>
      </c>
      <c r="M239" s="7">
        <f t="shared" si="12"/>
        <v>21905.52</v>
      </c>
      <c r="N239" s="7">
        <f t="shared" si="13"/>
        <v>2190.5520000000001</v>
      </c>
      <c r="O239" s="7">
        <f t="shared" si="14"/>
        <v>3548.6942399999998</v>
      </c>
      <c r="P239" s="7">
        <f t="shared" si="15"/>
        <v>23263.662240000001</v>
      </c>
    </row>
    <row r="240" spans="1:16" x14ac:dyDescent="0.25">
      <c r="A240" s="2" t="s">
        <v>303</v>
      </c>
      <c r="B240" s="3">
        <v>45365</v>
      </c>
      <c r="C240" s="2" t="s">
        <v>24</v>
      </c>
      <c r="D240" s="2" t="s">
        <v>34</v>
      </c>
      <c r="E240" s="2" t="s">
        <v>44</v>
      </c>
      <c r="F240" s="2" t="s">
        <v>93</v>
      </c>
      <c r="G240" s="2" t="s">
        <v>31</v>
      </c>
      <c r="H240" s="2">
        <v>15</v>
      </c>
      <c r="I240" s="4">
        <v>608.47</v>
      </c>
      <c r="J240" s="2">
        <v>20</v>
      </c>
      <c r="K240" s="2">
        <v>18</v>
      </c>
      <c r="L240" s="2" t="s">
        <v>22</v>
      </c>
      <c r="M240" s="4">
        <f t="shared" si="12"/>
        <v>9127.0500000000011</v>
      </c>
      <c r="N240" s="4">
        <f t="shared" si="13"/>
        <v>1825.4100000000003</v>
      </c>
      <c r="O240" s="4">
        <f t="shared" si="14"/>
        <v>1314.2952000000002</v>
      </c>
      <c r="P240" s="4">
        <f t="shared" si="15"/>
        <v>8615.9352000000017</v>
      </c>
    </row>
    <row r="241" spans="1:16" x14ac:dyDescent="0.25">
      <c r="A241" s="5" t="s">
        <v>304</v>
      </c>
      <c r="B241" s="6">
        <v>45623</v>
      </c>
      <c r="C241" s="5" t="s">
        <v>24</v>
      </c>
      <c r="D241" s="5" t="s">
        <v>54</v>
      </c>
      <c r="E241" s="5" t="s">
        <v>35</v>
      </c>
      <c r="F241" s="5" t="s">
        <v>82</v>
      </c>
      <c r="G241" s="5" t="s">
        <v>21</v>
      </c>
      <c r="H241" s="5">
        <v>16</v>
      </c>
      <c r="I241" s="7">
        <v>517.44000000000005</v>
      </c>
      <c r="J241" s="5">
        <v>5</v>
      </c>
      <c r="K241" s="5">
        <v>18</v>
      </c>
      <c r="L241" s="5" t="s">
        <v>49</v>
      </c>
      <c r="M241" s="7">
        <f t="shared" si="12"/>
        <v>8279.0400000000009</v>
      </c>
      <c r="N241" s="7">
        <f t="shared" si="13"/>
        <v>413.95200000000006</v>
      </c>
      <c r="O241" s="7">
        <f t="shared" si="14"/>
        <v>1415.7158400000001</v>
      </c>
      <c r="P241" s="7">
        <f t="shared" si="15"/>
        <v>9280.8038400000005</v>
      </c>
    </row>
    <row r="242" spans="1:16" x14ac:dyDescent="0.25">
      <c r="A242" s="2" t="s">
        <v>305</v>
      </c>
      <c r="B242" s="3">
        <v>45600</v>
      </c>
      <c r="C242" s="2" t="s">
        <v>17</v>
      </c>
      <c r="D242" s="2" t="s">
        <v>60</v>
      </c>
      <c r="E242" s="2" t="s">
        <v>19</v>
      </c>
      <c r="F242" s="2" t="s">
        <v>157</v>
      </c>
      <c r="G242" s="2" t="s">
        <v>21</v>
      </c>
      <c r="H242" s="2">
        <v>18</v>
      </c>
      <c r="I242" s="4">
        <v>760.56</v>
      </c>
      <c r="J242" s="2">
        <v>15</v>
      </c>
      <c r="K242" s="2">
        <v>18</v>
      </c>
      <c r="L242" s="2" t="s">
        <v>22</v>
      </c>
      <c r="M242" s="4">
        <f t="shared" si="12"/>
        <v>13690.079999999998</v>
      </c>
      <c r="N242" s="4">
        <f t="shared" si="13"/>
        <v>2053.5119999999997</v>
      </c>
      <c r="O242" s="4">
        <f t="shared" si="14"/>
        <v>2094.5822399999997</v>
      </c>
      <c r="P242" s="4">
        <f t="shared" si="15"/>
        <v>13731.150239999999</v>
      </c>
    </row>
    <row r="243" spans="1:16" x14ac:dyDescent="0.25">
      <c r="A243" s="5" t="s">
        <v>306</v>
      </c>
      <c r="B243" s="6">
        <v>45400</v>
      </c>
      <c r="C243" s="5" t="s">
        <v>47</v>
      </c>
      <c r="D243" s="5" t="s">
        <v>18</v>
      </c>
      <c r="E243" s="5" t="s">
        <v>19</v>
      </c>
      <c r="F243" s="5" t="s">
        <v>20</v>
      </c>
      <c r="G243" s="5" t="s">
        <v>31</v>
      </c>
      <c r="H243" s="5">
        <v>22</v>
      </c>
      <c r="I243" s="7">
        <v>613.34</v>
      </c>
      <c r="J243" s="5">
        <v>0</v>
      </c>
      <c r="K243" s="5">
        <v>18</v>
      </c>
      <c r="L243" s="5" t="s">
        <v>22</v>
      </c>
      <c r="M243" s="7">
        <f t="shared" si="12"/>
        <v>13493.480000000001</v>
      </c>
      <c r="N243" s="7">
        <f t="shared" si="13"/>
        <v>0</v>
      </c>
      <c r="O243" s="7">
        <f t="shared" si="14"/>
        <v>2428.8263999999999</v>
      </c>
      <c r="P243" s="7">
        <f t="shared" si="15"/>
        <v>15922.306400000001</v>
      </c>
    </row>
    <row r="244" spans="1:16" x14ac:dyDescent="0.25">
      <c r="A244" s="2" t="s">
        <v>307</v>
      </c>
      <c r="B244" s="3">
        <v>45486</v>
      </c>
      <c r="C244" s="2" t="s">
        <v>24</v>
      </c>
      <c r="D244" s="2" t="s">
        <v>18</v>
      </c>
      <c r="E244" s="2" t="s">
        <v>44</v>
      </c>
      <c r="F244" s="2" t="s">
        <v>45</v>
      </c>
      <c r="G244" s="2" t="s">
        <v>21</v>
      </c>
      <c r="H244" s="2">
        <v>16</v>
      </c>
      <c r="I244" s="4">
        <v>1108.6400000000001</v>
      </c>
      <c r="J244" s="2">
        <v>5</v>
      </c>
      <c r="K244" s="2">
        <v>18</v>
      </c>
      <c r="L244" s="2" t="s">
        <v>49</v>
      </c>
      <c r="M244" s="4">
        <f t="shared" si="12"/>
        <v>17738.240000000002</v>
      </c>
      <c r="N244" s="4">
        <f t="shared" si="13"/>
        <v>886.91200000000015</v>
      </c>
      <c r="O244" s="4">
        <f t="shared" si="14"/>
        <v>3033.2390400000004</v>
      </c>
      <c r="P244" s="4">
        <f t="shared" si="15"/>
        <v>19884.567040000002</v>
      </c>
    </row>
    <row r="245" spans="1:16" x14ac:dyDescent="0.25">
      <c r="A245" s="5" t="s">
        <v>308</v>
      </c>
      <c r="B245" s="6">
        <v>45342</v>
      </c>
      <c r="C245" s="5" t="s">
        <v>17</v>
      </c>
      <c r="D245" s="5" t="s">
        <v>43</v>
      </c>
      <c r="E245" s="5" t="s">
        <v>35</v>
      </c>
      <c r="F245" s="5" t="s">
        <v>68</v>
      </c>
      <c r="G245" s="5" t="s">
        <v>55</v>
      </c>
      <c r="H245" s="5">
        <v>33</v>
      </c>
      <c r="I245" s="7">
        <v>1766.8</v>
      </c>
      <c r="J245" s="5">
        <v>10</v>
      </c>
      <c r="K245" s="5">
        <v>18</v>
      </c>
      <c r="L245" s="5" t="s">
        <v>22</v>
      </c>
      <c r="M245" s="7">
        <f t="shared" si="12"/>
        <v>58304.4</v>
      </c>
      <c r="N245" s="7">
        <f t="shared" si="13"/>
        <v>5830.44</v>
      </c>
      <c r="O245" s="7">
        <f t="shared" si="14"/>
        <v>9445.3127999999997</v>
      </c>
      <c r="P245" s="7">
        <f t="shared" si="15"/>
        <v>61919.272799999999</v>
      </c>
    </row>
    <row r="246" spans="1:16" x14ac:dyDescent="0.25">
      <c r="A246" s="2" t="s">
        <v>309</v>
      </c>
      <c r="B246" s="3">
        <v>45366</v>
      </c>
      <c r="C246" s="2" t="s">
        <v>47</v>
      </c>
      <c r="D246" s="2" t="s">
        <v>64</v>
      </c>
      <c r="E246" s="2" t="s">
        <v>35</v>
      </c>
      <c r="F246" s="2" t="s">
        <v>36</v>
      </c>
      <c r="G246" s="2" t="s">
        <v>55</v>
      </c>
      <c r="H246" s="2">
        <v>3</v>
      </c>
      <c r="I246" s="4">
        <v>1129.42</v>
      </c>
      <c r="J246" s="2">
        <v>0</v>
      </c>
      <c r="K246" s="2">
        <v>18</v>
      </c>
      <c r="L246" s="2" t="s">
        <v>49</v>
      </c>
      <c r="M246" s="4">
        <f t="shared" si="12"/>
        <v>3388.26</v>
      </c>
      <c r="N246" s="4">
        <f t="shared" si="13"/>
        <v>0</v>
      </c>
      <c r="O246" s="4">
        <f t="shared" si="14"/>
        <v>609.88680000000011</v>
      </c>
      <c r="P246" s="4">
        <f t="shared" si="15"/>
        <v>3998.1468000000004</v>
      </c>
    </row>
    <row r="247" spans="1:16" x14ac:dyDescent="0.25">
      <c r="A247" s="5" t="s">
        <v>310</v>
      </c>
      <c r="B247" s="6">
        <v>45417</v>
      </c>
      <c r="C247" s="5" t="s">
        <v>24</v>
      </c>
      <c r="D247" s="5" t="s">
        <v>43</v>
      </c>
      <c r="E247" s="5" t="s">
        <v>19</v>
      </c>
      <c r="F247" s="5" t="s">
        <v>62</v>
      </c>
      <c r="G247" s="5" t="s">
        <v>21</v>
      </c>
      <c r="H247" s="5">
        <v>22</v>
      </c>
      <c r="I247" s="7">
        <v>467.74</v>
      </c>
      <c r="J247" s="5">
        <v>15</v>
      </c>
      <c r="K247" s="5">
        <v>18</v>
      </c>
      <c r="L247" s="5" t="s">
        <v>22</v>
      </c>
      <c r="M247" s="7">
        <f t="shared" si="12"/>
        <v>10290.280000000001</v>
      </c>
      <c r="N247" s="7">
        <f t="shared" si="13"/>
        <v>1543.5420000000001</v>
      </c>
      <c r="O247" s="7">
        <f t="shared" si="14"/>
        <v>1574.4128400000002</v>
      </c>
      <c r="P247" s="7">
        <f t="shared" si="15"/>
        <v>10321.150840000002</v>
      </c>
    </row>
    <row r="248" spans="1:16" x14ac:dyDescent="0.25">
      <c r="A248" s="2" t="s">
        <v>311</v>
      </c>
      <c r="B248" s="3">
        <v>45378</v>
      </c>
      <c r="C248" s="2" t="s">
        <v>17</v>
      </c>
      <c r="D248" s="2" t="s">
        <v>43</v>
      </c>
      <c r="E248" s="2" t="s">
        <v>35</v>
      </c>
      <c r="F248" s="2" t="s">
        <v>68</v>
      </c>
      <c r="G248" s="2" t="s">
        <v>31</v>
      </c>
      <c r="H248" s="2">
        <v>30</v>
      </c>
      <c r="I248" s="4">
        <v>344.78</v>
      </c>
      <c r="J248" s="2">
        <v>5</v>
      </c>
      <c r="K248" s="2">
        <v>18</v>
      </c>
      <c r="L248" s="2" t="s">
        <v>49</v>
      </c>
      <c r="M248" s="4">
        <f t="shared" si="12"/>
        <v>10343.4</v>
      </c>
      <c r="N248" s="4">
        <f t="shared" si="13"/>
        <v>517.16999999999996</v>
      </c>
      <c r="O248" s="4">
        <f t="shared" si="14"/>
        <v>1768.7213999999999</v>
      </c>
      <c r="P248" s="4">
        <f t="shared" si="15"/>
        <v>11594.9514</v>
      </c>
    </row>
    <row r="249" spans="1:16" x14ac:dyDescent="0.25">
      <c r="A249" s="5" t="s">
        <v>312</v>
      </c>
      <c r="B249" s="6">
        <v>45634</v>
      </c>
      <c r="C249" s="5" t="s">
        <v>24</v>
      </c>
      <c r="D249" s="5" t="s">
        <v>34</v>
      </c>
      <c r="E249" s="5" t="s">
        <v>44</v>
      </c>
      <c r="F249" s="5" t="s">
        <v>141</v>
      </c>
      <c r="G249" s="5" t="s">
        <v>27</v>
      </c>
      <c r="H249" s="5">
        <v>3</v>
      </c>
      <c r="I249" s="7">
        <v>1679.75</v>
      </c>
      <c r="J249" s="5">
        <v>0</v>
      </c>
      <c r="K249" s="5">
        <v>18</v>
      </c>
      <c r="L249" s="5" t="s">
        <v>32</v>
      </c>
      <c r="M249" s="7">
        <f t="shared" si="12"/>
        <v>5039.25</v>
      </c>
      <c r="N249" s="7">
        <f t="shared" si="13"/>
        <v>0</v>
      </c>
      <c r="O249" s="7">
        <f t="shared" si="14"/>
        <v>907.06500000000005</v>
      </c>
      <c r="P249" s="7">
        <f t="shared" si="15"/>
        <v>5946.3150000000005</v>
      </c>
    </row>
    <row r="250" spans="1:16" x14ac:dyDescent="0.25">
      <c r="A250" s="2" t="s">
        <v>313</v>
      </c>
      <c r="B250" s="3">
        <v>45550</v>
      </c>
      <c r="C250" s="2" t="s">
        <v>24</v>
      </c>
      <c r="D250" s="2" t="s">
        <v>34</v>
      </c>
      <c r="E250" s="2" t="s">
        <v>19</v>
      </c>
      <c r="F250" s="2" t="s">
        <v>20</v>
      </c>
      <c r="G250" s="2" t="s">
        <v>21</v>
      </c>
      <c r="H250" s="2">
        <v>46</v>
      </c>
      <c r="I250" s="4">
        <v>310.55</v>
      </c>
      <c r="J250" s="2">
        <v>0</v>
      </c>
      <c r="K250" s="2">
        <v>18</v>
      </c>
      <c r="L250" s="2" t="s">
        <v>22</v>
      </c>
      <c r="M250" s="4">
        <f t="shared" si="12"/>
        <v>14285.300000000001</v>
      </c>
      <c r="N250" s="4">
        <f t="shared" si="13"/>
        <v>0</v>
      </c>
      <c r="O250" s="4">
        <f t="shared" si="14"/>
        <v>2571.3540000000003</v>
      </c>
      <c r="P250" s="4">
        <f t="shared" si="15"/>
        <v>16856.654000000002</v>
      </c>
    </row>
    <row r="251" spans="1:16" x14ac:dyDescent="0.25">
      <c r="A251" s="5" t="s">
        <v>314</v>
      </c>
      <c r="B251" s="6">
        <v>45298</v>
      </c>
      <c r="C251" s="5" t="s">
        <v>59</v>
      </c>
      <c r="D251" s="5" t="s">
        <v>52</v>
      </c>
      <c r="E251" s="5" t="s">
        <v>35</v>
      </c>
      <c r="F251" s="5" t="s">
        <v>36</v>
      </c>
      <c r="G251" s="5" t="s">
        <v>31</v>
      </c>
      <c r="H251" s="5">
        <v>1</v>
      </c>
      <c r="I251" s="7">
        <v>1069.0999999999999</v>
      </c>
      <c r="J251" s="5">
        <v>10</v>
      </c>
      <c r="K251" s="5">
        <v>18</v>
      </c>
      <c r="L251" s="5" t="s">
        <v>22</v>
      </c>
      <c r="M251" s="7">
        <f t="shared" si="12"/>
        <v>1069.0999999999999</v>
      </c>
      <c r="N251" s="7">
        <f t="shared" si="13"/>
        <v>106.91</v>
      </c>
      <c r="O251" s="7">
        <f t="shared" si="14"/>
        <v>173.1942</v>
      </c>
      <c r="P251" s="7">
        <f t="shared" si="15"/>
        <v>1135.3842</v>
      </c>
    </row>
    <row r="252" spans="1:16" x14ac:dyDescent="0.25">
      <c r="A252" s="2" t="s">
        <v>315</v>
      </c>
      <c r="B252" s="3">
        <v>45346</v>
      </c>
      <c r="C252" s="2" t="s">
        <v>17</v>
      </c>
      <c r="D252" s="2" t="s">
        <v>43</v>
      </c>
      <c r="E252" s="2" t="s">
        <v>19</v>
      </c>
      <c r="F252" s="2" t="s">
        <v>26</v>
      </c>
      <c r="G252" s="2" t="s">
        <v>27</v>
      </c>
      <c r="H252" s="2">
        <v>45</v>
      </c>
      <c r="I252" s="4">
        <v>1351.33</v>
      </c>
      <c r="J252" s="2">
        <v>0</v>
      </c>
      <c r="K252" s="2">
        <v>18</v>
      </c>
      <c r="L252" s="2" t="s">
        <v>32</v>
      </c>
      <c r="M252" s="4">
        <f t="shared" si="12"/>
        <v>60809.85</v>
      </c>
      <c r="N252" s="4">
        <f t="shared" si="13"/>
        <v>0</v>
      </c>
      <c r="O252" s="4">
        <f t="shared" si="14"/>
        <v>10945.773000000001</v>
      </c>
      <c r="P252" s="4">
        <f t="shared" si="15"/>
        <v>71755.622999999992</v>
      </c>
    </row>
    <row r="253" spans="1:16" x14ac:dyDescent="0.25">
      <c r="A253" s="5" t="s">
        <v>316</v>
      </c>
      <c r="B253" s="6">
        <v>45428</v>
      </c>
      <c r="C253" s="5" t="s">
        <v>47</v>
      </c>
      <c r="D253" s="5" t="s">
        <v>18</v>
      </c>
      <c r="E253" s="5" t="s">
        <v>19</v>
      </c>
      <c r="F253" s="5" t="s">
        <v>26</v>
      </c>
      <c r="G253" s="5" t="s">
        <v>21</v>
      </c>
      <c r="H253" s="5">
        <v>34</v>
      </c>
      <c r="I253" s="7">
        <v>512.30999999999995</v>
      </c>
      <c r="J253" s="5">
        <v>5</v>
      </c>
      <c r="K253" s="5">
        <v>18</v>
      </c>
      <c r="L253" s="5" t="s">
        <v>32</v>
      </c>
      <c r="M253" s="7">
        <f t="shared" si="12"/>
        <v>17418.539999999997</v>
      </c>
      <c r="N253" s="7">
        <f t="shared" si="13"/>
        <v>870.92699999999979</v>
      </c>
      <c r="O253" s="7">
        <f t="shared" si="14"/>
        <v>2978.5703399999998</v>
      </c>
      <c r="P253" s="7">
        <f t="shared" si="15"/>
        <v>19526.183339999996</v>
      </c>
    </row>
    <row r="254" spans="1:16" x14ac:dyDescent="0.25">
      <c r="A254" s="2" t="s">
        <v>317</v>
      </c>
      <c r="B254" s="3">
        <v>45445</v>
      </c>
      <c r="C254" s="2" t="s">
        <v>17</v>
      </c>
      <c r="D254" s="2" t="s">
        <v>54</v>
      </c>
      <c r="E254" s="2" t="s">
        <v>35</v>
      </c>
      <c r="F254" s="2" t="s">
        <v>82</v>
      </c>
      <c r="G254" s="2" t="s">
        <v>31</v>
      </c>
      <c r="H254" s="2">
        <v>16</v>
      </c>
      <c r="I254" s="4">
        <v>1980.56</v>
      </c>
      <c r="J254" s="2">
        <v>0</v>
      </c>
      <c r="K254" s="2">
        <v>18</v>
      </c>
      <c r="L254" s="2" t="s">
        <v>32</v>
      </c>
      <c r="M254" s="4">
        <f t="shared" si="12"/>
        <v>31688.959999999999</v>
      </c>
      <c r="N254" s="4">
        <f t="shared" si="13"/>
        <v>0</v>
      </c>
      <c r="O254" s="4">
        <f t="shared" si="14"/>
        <v>5704.0128000000004</v>
      </c>
      <c r="P254" s="4">
        <f t="shared" si="15"/>
        <v>37392.972800000003</v>
      </c>
    </row>
    <row r="255" spans="1:16" x14ac:dyDescent="0.25">
      <c r="A255" s="5" t="s">
        <v>318</v>
      </c>
      <c r="B255" s="6">
        <v>45296</v>
      </c>
      <c r="C255" s="5" t="s">
        <v>59</v>
      </c>
      <c r="D255" s="5" t="s">
        <v>54</v>
      </c>
      <c r="E255" s="5" t="s">
        <v>19</v>
      </c>
      <c r="F255" s="5" t="s">
        <v>20</v>
      </c>
      <c r="G255" s="5" t="s">
        <v>31</v>
      </c>
      <c r="H255" s="5">
        <v>36</v>
      </c>
      <c r="I255" s="7">
        <v>957.25</v>
      </c>
      <c r="J255" s="5">
        <v>20</v>
      </c>
      <c r="K255" s="5">
        <v>18</v>
      </c>
      <c r="L255" s="5" t="s">
        <v>49</v>
      </c>
      <c r="M255" s="7">
        <f t="shared" si="12"/>
        <v>34461</v>
      </c>
      <c r="N255" s="7">
        <f t="shared" si="13"/>
        <v>6892.2</v>
      </c>
      <c r="O255" s="7">
        <f t="shared" si="14"/>
        <v>4962.384</v>
      </c>
      <c r="P255" s="7">
        <f t="shared" si="15"/>
        <v>32531.184000000001</v>
      </c>
    </row>
    <row r="256" spans="1:16" x14ac:dyDescent="0.25">
      <c r="A256" s="2" t="s">
        <v>319</v>
      </c>
      <c r="B256" s="3">
        <v>45409</v>
      </c>
      <c r="C256" s="2" t="s">
        <v>24</v>
      </c>
      <c r="D256" s="2" t="s">
        <v>54</v>
      </c>
      <c r="E256" s="2" t="s">
        <v>44</v>
      </c>
      <c r="F256" s="2" t="s">
        <v>45</v>
      </c>
      <c r="G256" s="2" t="s">
        <v>55</v>
      </c>
      <c r="H256" s="2">
        <v>7</v>
      </c>
      <c r="I256" s="4">
        <v>1790.63</v>
      </c>
      <c r="J256" s="2">
        <v>0</v>
      </c>
      <c r="K256" s="2">
        <v>18</v>
      </c>
      <c r="L256" s="2" t="s">
        <v>32</v>
      </c>
      <c r="M256" s="4">
        <f t="shared" si="12"/>
        <v>12534.41</v>
      </c>
      <c r="N256" s="4">
        <f t="shared" si="13"/>
        <v>0</v>
      </c>
      <c r="O256" s="4">
        <f t="shared" si="14"/>
        <v>2256.1938</v>
      </c>
      <c r="P256" s="4">
        <f t="shared" si="15"/>
        <v>14790.603800000001</v>
      </c>
    </row>
    <row r="257" spans="1:16" x14ac:dyDescent="0.25">
      <c r="A257" s="5" t="s">
        <v>320</v>
      </c>
      <c r="B257" s="6">
        <v>45580</v>
      </c>
      <c r="C257" s="5" t="s">
        <v>24</v>
      </c>
      <c r="D257" s="5" t="s">
        <v>43</v>
      </c>
      <c r="E257" s="5" t="s">
        <v>44</v>
      </c>
      <c r="F257" s="5" t="s">
        <v>141</v>
      </c>
      <c r="G257" s="5" t="s">
        <v>27</v>
      </c>
      <c r="H257" s="5">
        <v>44</v>
      </c>
      <c r="I257" s="7">
        <v>1851.91</v>
      </c>
      <c r="J257" s="5">
        <v>15</v>
      </c>
      <c r="K257" s="5">
        <v>18</v>
      </c>
      <c r="L257" s="5" t="s">
        <v>22</v>
      </c>
      <c r="M257" s="7">
        <f t="shared" si="12"/>
        <v>81484.040000000008</v>
      </c>
      <c r="N257" s="7">
        <f t="shared" si="13"/>
        <v>12222.606000000002</v>
      </c>
      <c r="O257" s="7">
        <f t="shared" si="14"/>
        <v>12467.058120000002</v>
      </c>
      <c r="P257" s="7">
        <f t="shared" si="15"/>
        <v>81728.49212000001</v>
      </c>
    </row>
    <row r="258" spans="1:16" x14ac:dyDescent="0.25">
      <c r="A258" s="2" t="s">
        <v>321</v>
      </c>
      <c r="B258" s="3">
        <v>45495</v>
      </c>
      <c r="C258" s="2" t="s">
        <v>17</v>
      </c>
      <c r="D258" s="2" t="s">
        <v>25</v>
      </c>
      <c r="E258" s="2" t="s">
        <v>19</v>
      </c>
      <c r="F258" s="2" t="s">
        <v>57</v>
      </c>
      <c r="G258" s="2" t="s">
        <v>21</v>
      </c>
      <c r="H258" s="2">
        <v>10</v>
      </c>
      <c r="I258" s="4">
        <v>1506.99</v>
      </c>
      <c r="J258" s="2">
        <v>20</v>
      </c>
      <c r="K258" s="2">
        <v>18</v>
      </c>
      <c r="L258" s="2" t="s">
        <v>32</v>
      </c>
      <c r="M258" s="4">
        <f t="shared" ref="M258:M321" si="16">H258*I258</f>
        <v>15069.9</v>
      </c>
      <c r="N258" s="4">
        <f t="shared" ref="N258:N321" si="17">M258*J258/100</f>
        <v>3013.98</v>
      </c>
      <c r="O258" s="4">
        <f t="shared" ref="O258:O321" si="18">(M258-N258)*K258/100</f>
        <v>2170.0655999999999</v>
      </c>
      <c r="P258" s="4">
        <f t="shared" ref="P258:P321" si="19">M258-N258+O258</f>
        <v>14225.9856</v>
      </c>
    </row>
    <row r="259" spans="1:16" x14ac:dyDescent="0.25">
      <c r="A259" s="5" t="s">
        <v>322</v>
      </c>
      <c r="B259" s="6">
        <v>45363</v>
      </c>
      <c r="C259" s="5" t="s">
        <v>47</v>
      </c>
      <c r="D259" s="5" t="s">
        <v>18</v>
      </c>
      <c r="E259" s="5" t="s">
        <v>19</v>
      </c>
      <c r="F259" s="5" t="s">
        <v>62</v>
      </c>
      <c r="G259" s="5" t="s">
        <v>31</v>
      </c>
      <c r="H259" s="5">
        <v>22</v>
      </c>
      <c r="I259" s="7">
        <v>773.85</v>
      </c>
      <c r="J259" s="5">
        <v>20</v>
      </c>
      <c r="K259" s="5">
        <v>18</v>
      </c>
      <c r="L259" s="5" t="s">
        <v>32</v>
      </c>
      <c r="M259" s="7">
        <f t="shared" si="16"/>
        <v>17024.7</v>
      </c>
      <c r="N259" s="7">
        <f t="shared" si="17"/>
        <v>3404.94</v>
      </c>
      <c r="O259" s="7">
        <f t="shared" si="18"/>
        <v>2451.5567999999998</v>
      </c>
      <c r="P259" s="7">
        <f t="shared" si="19"/>
        <v>16071.316800000001</v>
      </c>
    </row>
    <row r="260" spans="1:16" x14ac:dyDescent="0.25">
      <c r="A260" s="2" t="s">
        <v>323</v>
      </c>
      <c r="B260" s="3">
        <v>45601</v>
      </c>
      <c r="C260" s="2" t="s">
        <v>17</v>
      </c>
      <c r="D260" s="2" t="s">
        <v>25</v>
      </c>
      <c r="E260" s="2" t="s">
        <v>19</v>
      </c>
      <c r="F260" s="2" t="s">
        <v>26</v>
      </c>
      <c r="G260" s="2" t="s">
        <v>27</v>
      </c>
      <c r="H260" s="2">
        <v>15</v>
      </c>
      <c r="I260" s="4">
        <v>1678.96</v>
      </c>
      <c r="J260" s="2">
        <v>5</v>
      </c>
      <c r="K260" s="2">
        <v>18</v>
      </c>
      <c r="L260" s="2" t="s">
        <v>49</v>
      </c>
      <c r="M260" s="4">
        <f t="shared" si="16"/>
        <v>25184.400000000001</v>
      </c>
      <c r="N260" s="4">
        <f t="shared" si="17"/>
        <v>1259.22</v>
      </c>
      <c r="O260" s="4">
        <f t="shared" si="18"/>
        <v>4306.5324000000001</v>
      </c>
      <c r="P260" s="4">
        <f t="shared" si="19"/>
        <v>28231.7124</v>
      </c>
    </row>
    <row r="261" spans="1:16" x14ac:dyDescent="0.25">
      <c r="A261" s="5" t="s">
        <v>324</v>
      </c>
      <c r="B261" s="6">
        <v>45575</v>
      </c>
      <c r="C261" s="5" t="s">
        <v>24</v>
      </c>
      <c r="D261" s="5" t="s">
        <v>64</v>
      </c>
      <c r="E261" s="5" t="s">
        <v>29</v>
      </c>
      <c r="F261" s="5" t="s">
        <v>65</v>
      </c>
      <c r="G261" s="5" t="s">
        <v>27</v>
      </c>
      <c r="H261" s="5">
        <v>29</v>
      </c>
      <c r="I261" s="7">
        <v>986.3</v>
      </c>
      <c r="J261" s="5">
        <v>5</v>
      </c>
      <c r="K261" s="5">
        <v>18</v>
      </c>
      <c r="L261" s="5" t="s">
        <v>22</v>
      </c>
      <c r="M261" s="7">
        <f t="shared" si="16"/>
        <v>28602.699999999997</v>
      </c>
      <c r="N261" s="7">
        <f t="shared" si="17"/>
        <v>1430.135</v>
      </c>
      <c r="O261" s="7">
        <f t="shared" si="18"/>
        <v>4891.0617000000002</v>
      </c>
      <c r="P261" s="7">
        <f t="shared" si="19"/>
        <v>32063.626700000001</v>
      </c>
    </row>
    <row r="262" spans="1:16" x14ac:dyDescent="0.25">
      <c r="A262" s="2" t="s">
        <v>325</v>
      </c>
      <c r="B262" s="3">
        <v>45329</v>
      </c>
      <c r="C262" s="2" t="s">
        <v>47</v>
      </c>
      <c r="D262" s="2" t="s">
        <v>54</v>
      </c>
      <c r="E262" s="2" t="s">
        <v>35</v>
      </c>
      <c r="F262" s="2" t="s">
        <v>76</v>
      </c>
      <c r="G262" s="2" t="s">
        <v>27</v>
      </c>
      <c r="H262" s="2">
        <v>19</v>
      </c>
      <c r="I262" s="4">
        <v>1598.13</v>
      </c>
      <c r="J262" s="2">
        <v>20</v>
      </c>
      <c r="K262" s="2">
        <v>18</v>
      </c>
      <c r="L262" s="2" t="s">
        <v>32</v>
      </c>
      <c r="M262" s="4">
        <f t="shared" si="16"/>
        <v>30364.47</v>
      </c>
      <c r="N262" s="4">
        <f t="shared" si="17"/>
        <v>6072.8940000000002</v>
      </c>
      <c r="O262" s="4">
        <f t="shared" si="18"/>
        <v>4372.4836800000003</v>
      </c>
      <c r="P262" s="4">
        <f t="shared" si="19"/>
        <v>28664.059680000002</v>
      </c>
    </row>
    <row r="263" spans="1:16" x14ac:dyDescent="0.25">
      <c r="A263" s="5" t="s">
        <v>326</v>
      </c>
      <c r="B263" s="6">
        <v>45294</v>
      </c>
      <c r="C263" s="5" t="s">
        <v>47</v>
      </c>
      <c r="D263" s="5" t="s">
        <v>54</v>
      </c>
      <c r="E263" s="5" t="s">
        <v>19</v>
      </c>
      <c r="F263" s="5" t="s">
        <v>62</v>
      </c>
      <c r="G263" s="5" t="s">
        <v>21</v>
      </c>
      <c r="H263" s="5">
        <v>21</v>
      </c>
      <c r="I263" s="7">
        <v>727.79</v>
      </c>
      <c r="J263" s="5">
        <v>0</v>
      </c>
      <c r="K263" s="5">
        <v>18</v>
      </c>
      <c r="L263" s="5" t="s">
        <v>49</v>
      </c>
      <c r="M263" s="7">
        <f t="shared" si="16"/>
        <v>15283.59</v>
      </c>
      <c r="N263" s="7">
        <f t="shared" si="17"/>
        <v>0</v>
      </c>
      <c r="O263" s="7">
        <f t="shared" si="18"/>
        <v>2751.0461999999998</v>
      </c>
      <c r="P263" s="7">
        <f t="shared" si="19"/>
        <v>18034.636200000001</v>
      </c>
    </row>
    <row r="264" spans="1:16" x14ac:dyDescent="0.25">
      <c r="A264" s="2" t="s">
        <v>327</v>
      </c>
      <c r="B264" s="3">
        <v>45577</v>
      </c>
      <c r="C264" s="2" t="s">
        <v>17</v>
      </c>
      <c r="D264" s="2" t="s">
        <v>43</v>
      </c>
      <c r="E264" s="2" t="s">
        <v>38</v>
      </c>
      <c r="F264" s="2" t="s">
        <v>70</v>
      </c>
      <c r="G264" s="2" t="s">
        <v>27</v>
      </c>
      <c r="H264" s="2">
        <v>6</v>
      </c>
      <c r="I264" s="4">
        <v>382.91</v>
      </c>
      <c r="J264" s="2">
        <v>10</v>
      </c>
      <c r="K264" s="2">
        <v>18</v>
      </c>
      <c r="L264" s="2" t="s">
        <v>22</v>
      </c>
      <c r="M264" s="4">
        <f t="shared" si="16"/>
        <v>2297.46</v>
      </c>
      <c r="N264" s="4">
        <f t="shared" si="17"/>
        <v>229.74599999999998</v>
      </c>
      <c r="O264" s="4">
        <f t="shared" si="18"/>
        <v>372.18851999999998</v>
      </c>
      <c r="P264" s="4">
        <f t="shared" si="19"/>
        <v>2439.9025200000001</v>
      </c>
    </row>
    <row r="265" spans="1:16" x14ac:dyDescent="0.25">
      <c r="A265" s="5" t="s">
        <v>328</v>
      </c>
      <c r="B265" s="6">
        <v>45598</v>
      </c>
      <c r="C265" s="5" t="s">
        <v>24</v>
      </c>
      <c r="D265" s="5" t="s">
        <v>60</v>
      </c>
      <c r="E265" s="5" t="s">
        <v>29</v>
      </c>
      <c r="F265" s="5" t="s">
        <v>65</v>
      </c>
      <c r="G265" s="5" t="s">
        <v>27</v>
      </c>
      <c r="H265" s="5">
        <v>23</v>
      </c>
      <c r="I265" s="7">
        <v>1112.9000000000001</v>
      </c>
      <c r="J265" s="5">
        <v>15</v>
      </c>
      <c r="K265" s="5">
        <v>18</v>
      </c>
      <c r="L265" s="5" t="s">
        <v>22</v>
      </c>
      <c r="M265" s="7">
        <f t="shared" si="16"/>
        <v>25596.7</v>
      </c>
      <c r="N265" s="7">
        <f t="shared" si="17"/>
        <v>3839.5050000000001</v>
      </c>
      <c r="O265" s="7">
        <f t="shared" si="18"/>
        <v>3916.2951000000003</v>
      </c>
      <c r="P265" s="7">
        <f t="shared" si="19"/>
        <v>25673.490099999999</v>
      </c>
    </row>
    <row r="266" spans="1:16" x14ac:dyDescent="0.25">
      <c r="A266" s="2" t="s">
        <v>329</v>
      </c>
      <c r="B266" s="3">
        <v>45416</v>
      </c>
      <c r="C266" s="2" t="s">
        <v>59</v>
      </c>
      <c r="D266" s="2" t="s">
        <v>43</v>
      </c>
      <c r="E266" s="2" t="s">
        <v>38</v>
      </c>
      <c r="F266" s="2" t="s">
        <v>70</v>
      </c>
      <c r="G266" s="2" t="s">
        <v>31</v>
      </c>
      <c r="H266" s="2">
        <v>50</v>
      </c>
      <c r="I266" s="4">
        <v>178.55</v>
      </c>
      <c r="J266" s="2">
        <v>15</v>
      </c>
      <c r="K266" s="2">
        <v>18</v>
      </c>
      <c r="L266" s="2" t="s">
        <v>49</v>
      </c>
      <c r="M266" s="4">
        <f t="shared" si="16"/>
        <v>8927.5</v>
      </c>
      <c r="N266" s="4">
        <f t="shared" si="17"/>
        <v>1339.125</v>
      </c>
      <c r="O266" s="4">
        <f t="shared" si="18"/>
        <v>1365.9075</v>
      </c>
      <c r="P266" s="4">
        <f t="shared" si="19"/>
        <v>8954.2824999999993</v>
      </c>
    </row>
    <row r="267" spans="1:16" x14ac:dyDescent="0.25">
      <c r="A267" s="5" t="s">
        <v>330</v>
      </c>
      <c r="B267" s="6">
        <v>45366</v>
      </c>
      <c r="C267" s="5" t="s">
        <v>47</v>
      </c>
      <c r="D267" s="5" t="s">
        <v>54</v>
      </c>
      <c r="E267" s="5" t="s">
        <v>29</v>
      </c>
      <c r="F267" s="5" t="s">
        <v>65</v>
      </c>
      <c r="G267" s="5" t="s">
        <v>21</v>
      </c>
      <c r="H267" s="5">
        <v>18</v>
      </c>
      <c r="I267" s="7">
        <v>609.25</v>
      </c>
      <c r="J267" s="5">
        <v>10</v>
      </c>
      <c r="K267" s="5">
        <v>18</v>
      </c>
      <c r="L267" s="5" t="s">
        <v>22</v>
      </c>
      <c r="M267" s="7">
        <f t="shared" si="16"/>
        <v>10966.5</v>
      </c>
      <c r="N267" s="7">
        <f t="shared" si="17"/>
        <v>1096.6500000000001</v>
      </c>
      <c r="O267" s="7">
        <f t="shared" si="18"/>
        <v>1776.5730000000001</v>
      </c>
      <c r="P267" s="7">
        <f t="shared" si="19"/>
        <v>11646.423000000001</v>
      </c>
    </row>
    <row r="268" spans="1:16" x14ac:dyDescent="0.25">
      <c r="A268" s="2" t="s">
        <v>331</v>
      </c>
      <c r="B268" s="3">
        <v>45420</v>
      </c>
      <c r="C268" s="2" t="s">
        <v>24</v>
      </c>
      <c r="D268" s="2" t="s">
        <v>43</v>
      </c>
      <c r="E268" s="2" t="s">
        <v>19</v>
      </c>
      <c r="F268" s="2" t="s">
        <v>57</v>
      </c>
      <c r="G268" s="2" t="s">
        <v>31</v>
      </c>
      <c r="H268" s="2">
        <v>31</v>
      </c>
      <c r="I268" s="4">
        <v>1567.51</v>
      </c>
      <c r="J268" s="2">
        <v>5</v>
      </c>
      <c r="K268" s="2">
        <v>18</v>
      </c>
      <c r="L268" s="2" t="s">
        <v>22</v>
      </c>
      <c r="M268" s="4">
        <f t="shared" si="16"/>
        <v>48592.81</v>
      </c>
      <c r="N268" s="4">
        <f t="shared" si="17"/>
        <v>2429.6405</v>
      </c>
      <c r="O268" s="4">
        <f t="shared" si="18"/>
        <v>8309.3705100000006</v>
      </c>
      <c r="P268" s="4">
        <f t="shared" si="19"/>
        <v>54472.540009999997</v>
      </c>
    </row>
    <row r="269" spans="1:16" x14ac:dyDescent="0.25">
      <c r="A269" s="5" t="s">
        <v>332</v>
      </c>
      <c r="B269" s="6">
        <v>45462</v>
      </c>
      <c r="C269" s="5" t="s">
        <v>47</v>
      </c>
      <c r="D269" s="5" t="s">
        <v>52</v>
      </c>
      <c r="E269" s="5" t="s">
        <v>44</v>
      </c>
      <c r="F269" s="5" t="s">
        <v>91</v>
      </c>
      <c r="G269" s="5" t="s">
        <v>27</v>
      </c>
      <c r="H269" s="5">
        <v>20</v>
      </c>
      <c r="I269" s="7">
        <v>23.47</v>
      </c>
      <c r="J269" s="5">
        <v>10</v>
      </c>
      <c r="K269" s="5">
        <v>18</v>
      </c>
      <c r="L269" s="5" t="s">
        <v>22</v>
      </c>
      <c r="M269" s="7">
        <f t="shared" si="16"/>
        <v>469.4</v>
      </c>
      <c r="N269" s="7">
        <f t="shared" si="17"/>
        <v>46.94</v>
      </c>
      <c r="O269" s="7">
        <f t="shared" si="18"/>
        <v>76.0428</v>
      </c>
      <c r="P269" s="7">
        <f t="shared" si="19"/>
        <v>498.50279999999998</v>
      </c>
    </row>
    <row r="270" spans="1:16" x14ac:dyDescent="0.25">
      <c r="A270" s="2" t="s">
        <v>333</v>
      </c>
      <c r="B270" s="3">
        <v>45445</v>
      </c>
      <c r="C270" s="2" t="s">
        <v>17</v>
      </c>
      <c r="D270" s="2" t="s">
        <v>52</v>
      </c>
      <c r="E270" s="2" t="s">
        <v>29</v>
      </c>
      <c r="F270" s="2" t="s">
        <v>74</v>
      </c>
      <c r="G270" s="2" t="s">
        <v>55</v>
      </c>
      <c r="H270" s="2">
        <v>42</v>
      </c>
      <c r="I270" s="4">
        <v>1948.71</v>
      </c>
      <c r="J270" s="2">
        <v>0</v>
      </c>
      <c r="K270" s="2">
        <v>18</v>
      </c>
      <c r="L270" s="2" t="s">
        <v>49</v>
      </c>
      <c r="M270" s="4">
        <f t="shared" si="16"/>
        <v>81845.820000000007</v>
      </c>
      <c r="N270" s="4">
        <f t="shared" si="17"/>
        <v>0</v>
      </c>
      <c r="O270" s="4">
        <f t="shared" si="18"/>
        <v>14732.247600000002</v>
      </c>
      <c r="P270" s="4">
        <f t="shared" si="19"/>
        <v>96578.067600000009</v>
      </c>
    </row>
    <row r="271" spans="1:16" x14ac:dyDescent="0.25">
      <c r="A271" s="5" t="s">
        <v>334</v>
      </c>
      <c r="B271" s="6">
        <v>45647</v>
      </c>
      <c r="C271" s="5" t="s">
        <v>47</v>
      </c>
      <c r="D271" s="5" t="s">
        <v>52</v>
      </c>
      <c r="E271" s="5" t="s">
        <v>38</v>
      </c>
      <c r="F271" s="5" t="s">
        <v>39</v>
      </c>
      <c r="G271" s="5" t="s">
        <v>55</v>
      </c>
      <c r="H271" s="5">
        <v>26</v>
      </c>
      <c r="I271" s="7">
        <v>1937.76</v>
      </c>
      <c r="J271" s="5">
        <v>5</v>
      </c>
      <c r="K271" s="5">
        <v>18</v>
      </c>
      <c r="L271" s="5" t="s">
        <v>22</v>
      </c>
      <c r="M271" s="7">
        <f t="shared" si="16"/>
        <v>50381.760000000002</v>
      </c>
      <c r="N271" s="7">
        <f t="shared" si="17"/>
        <v>2519.0880000000002</v>
      </c>
      <c r="O271" s="7">
        <f t="shared" si="18"/>
        <v>8615.2809600000001</v>
      </c>
      <c r="P271" s="7">
        <f t="shared" si="19"/>
        <v>56477.952959999995</v>
      </c>
    </row>
    <row r="272" spans="1:16" x14ac:dyDescent="0.25">
      <c r="A272" s="2" t="s">
        <v>335</v>
      </c>
      <c r="B272" s="3">
        <v>45394</v>
      </c>
      <c r="C272" s="2" t="s">
        <v>47</v>
      </c>
      <c r="D272" s="2" t="s">
        <v>64</v>
      </c>
      <c r="E272" s="2" t="s">
        <v>35</v>
      </c>
      <c r="F272" s="2" t="s">
        <v>68</v>
      </c>
      <c r="G272" s="2" t="s">
        <v>31</v>
      </c>
      <c r="H272" s="2">
        <v>26</v>
      </c>
      <c r="I272" s="4">
        <v>736.38</v>
      </c>
      <c r="J272" s="2">
        <v>15</v>
      </c>
      <c r="K272" s="2">
        <v>18</v>
      </c>
      <c r="L272" s="2" t="s">
        <v>22</v>
      </c>
      <c r="M272" s="4">
        <f t="shared" si="16"/>
        <v>19145.88</v>
      </c>
      <c r="N272" s="4">
        <f t="shared" si="17"/>
        <v>2871.8820000000001</v>
      </c>
      <c r="O272" s="4">
        <f t="shared" si="18"/>
        <v>2929.3196400000002</v>
      </c>
      <c r="P272" s="4">
        <f t="shared" si="19"/>
        <v>19203.317640000001</v>
      </c>
    </row>
    <row r="273" spans="1:16" x14ac:dyDescent="0.25">
      <c r="A273" s="5" t="s">
        <v>336</v>
      </c>
      <c r="B273" s="6">
        <v>45327</v>
      </c>
      <c r="C273" s="5" t="s">
        <v>47</v>
      </c>
      <c r="D273" s="5" t="s">
        <v>25</v>
      </c>
      <c r="E273" s="5" t="s">
        <v>29</v>
      </c>
      <c r="F273" s="5" t="s">
        <v>65</v>
      </c>
      <c r="G273" s="5" t="s">
        <v>31</v>
      </c>
      <c r="H273" s="5">
        <v>29</v>
      </c>
      <c r="I273" s="7">
        <v>1597.39</v>
      </c>
      <c r="J273" s="5">
        <v>20</v>
      </c>
      <c r="K273" s="5">
        <v>18</v>
      </c>
      <c r="L273" s="5" t="s">
        <v>22</v>
      </c>
      <c r="M273" s="7">
        <f t="shared" si="16"/>
        <v>46324.310000000005</v>
      </c>
      <c r="N273" s="7">
        <f t="shared" si="17"/>
        <v>9264.862000000001</v>
      </c>
      <c r="O273" s="7">
        <f t="shared" si="18"/>
        <v>6670.70064</v>
      </c>
      <c r="P273" s="7">
        <f t="shared" si="19"/>
        <v>43730.148640000007</v>
      </c>
    </row>
    <row r="274" spans="1:16" x14ac:dyDescent="0.25">
      <c r="A274" s="2" t="s">
        <v>337</v>
      </c>
      <c r="B274" s="3">
        <v>45485</v>
      </c>
      <c r="C274" s="2" t="s">
        <v>47</v>
      </c>
      <c r="D274" s="2" t="s">
        <v>43</v>
      </c>
      <c r="E274" s="2" t="s">
        <v>35</v>
      </c>
      <c r="F274" s="2" t="s">
        <v>76</v>
      </c>
      <c r="G274" s="2" t="s">
        <v>21</v>
      </c>
      <c r="H274" s="2">
        <v>43</v>
      </c>
      <c r="I274" s="4">
        <v>316.75</v>
      </c>
      <c r="J274" s="2">
        <v>10</v>
      </c>
      <c r="K274" s="2">
        <v>18</v>
      </c>
      <c r="L274" s="2" t="s">
        <v>22</v>
      </c>
      <c r="M274" s="4">
        <f t="shared" si="16"/>
        <v>13620.25</v>
      </c>
      <c r="N274" s="4">
        <f t="shared" si="17"/>
        <v>1362.0250000000001</v>
      </c>
      <c r="O274" s="4">
        <f t="shared" si="18"/>
        <v>2206.4805000000001</v>
      </c>
      <c r="P274" s="4">
        <f t="shared" si="19"/>
        <v>14464.7055</v>
      </c>
    </row>
    <row r="275" spans="1:16" x14ac:dyDescent="0.25">
      <c r="A275" s="5" t="s">
        <v>338</v>
      </c>
      <c r="B275" s="6">
        <v>45651</v>
      </c>
      <c r="C275" s="5" t="s">
        <v>24</v>
      </c>
      <c r="D275" s="5" t="s">
        <v>54</v>
      </c>
      <c r="E275" s="5" t="s">
        <v>19</v>
      </c>
      <c r="F275" s="5" t="s">
        <v>157</v>
      </c>
      <c r="G275" s="5" t="s">
        <v>31</v>
      </c>
      <c r="H275" s="5">
        <v>3</v>
      </c>
      <c r="I275" s="7">
        <v>1583.53</v>
      </c>
      <c r="J275" s="5">
        <v>5</v>
      </c>
      <c r="K275" s="5">
        <v>18</v>
      </c>
      <c r="L275" s="5" t="s">
        <v>32</v>
      </c>
      <c r="M275" s="7">
        <f t="shared" si="16"/>
        <v>4750.59</v>
      </c>
      <c r="N275" s="7">
        <f t="shared" si="17"/>
        <v>237.52950000000001</v>
      </c>
      <c r="O275" s="7">
        <f t="shared" si="18"/>
        <v>812.35089000000005</v>
      </c>
      <c r="P275" s="7">
        <f t="shared" si="19"/>
        <v>5325.4113900000002</v>
      </c>
    </row>
    <row r="276" spans="1:16" x14ac:dyDescent="0.25">
      <c r="A276" s="2" t="s">
        <v>339</v>
      </c>
      <c r="B276" s="3">
        <v>45580</v>
      </c>
      <c r="C276" s="2" t="s">
        <v>59</v>
      </c>
      <c r="D276" s="2" t="s">
        <v>60</v>
      </c>
      <c r="E276" s="2" t="s">
        <v>29</v>
      </c>
      <c r="F276" s="2" t="s">
        <v>65</v>
      </c>
      <c r="G276" s="2" t="s">
        <v>21</v>
      </c>
      <c r="H276" s="2">
        <v>11</v>
      </c>
      <c r="I276" s="4">
        <v>1297.53</v>
      </c>
      <c r="J276" s="2">
        <v>0</v>
      </c>
      <c r="K276" s="2">
        <v>18</v>
      </c>
      <c r="L276" s="2" t="s">
        <v>22</v>
      </c>
      <c r="M276" s="4">
        <f t="shared" si="16"/>
        <v>14272.83</v>
      </c>
      <c r="N276" s="4">
        <f t="shared" si="17"/>
        <v>0</v>
      </c>
      <c r="O276" s="4">
        <f t="shared" si="18"/>
        <v>2569.1093999999998</v>
      </c>
      <c r="P276" s="4">
        <f t="shared" si="19"/>
        <v>16841.939399999999</v>
      </c>
    </row>
    <row r="277" spans="1:16" x14ac:dyDescent="0.25">
      <c r="A277" s="5" t="s">
        <v>340</v>
      </c>
      <c r="B277" s="6">
        <v>45557</v>
      </c>
      <c r="C277" s="5" t="s">
        <v>24</v>
      </c>
      <c r="D277" s="5" t="s">
        <v>60</v>
      </c>
      <c r="E277" s="5" t="s">
        <v>35</v>
      </c>
      <c r="F277" s="5" t="s">
        <v>36</v>
      </c>
      <c r="G277" s="5" t="s">
        <v>27</v>
      </c>
      <c r="H277" s="5">
        <v>17</v>
      </c>
      <c r="I277" s="7">
        <v>451.78</v>
      </c>
      <c r="J277" s="5">
        <v>20</v>
      </c>
      <c r="K277" s="5">
        <v>18</v>
      </c>
      <c r="L277" s="5" t="s">
        <v>22</v>
      </c>
      <c r="M277" s="7">
        <f t="shared" si="16"/>
        <v>7680.2599999999993</v>
      </c>
      <c r="N277" s="7">
        <f t="shared" si="17"/>
        <v>1536.0519999999999</v>
      </c>
      <c r="O277" s="7">
        <f t="shared" si="18"/>
        <v>1105.9574399999999</v>
      </c>
      <c r="P277" s="7">
        <f t="shared" si="19"/>
        <v>7250.1654399999998</v>
      </c>
    </row>
    <row r="278" spans="1:16" x14ac:dyDescent="0.25">
      <c r="A278" s="2" t="s">
        <v>341</v>
      </c>
      <c r="B278" s="3">
        <v>45645</v>
      </c>
      <c r="C278" s="2" t="s">
        <v>47</v>
      </c>
      <c r="D278" s="2" t="s">
        <v>52</v>
      </c>
      <c r="E278" s="2" t="s">
        <v>29</v>
      </c>
      <c r="F278" s="2" t="s">
        <v>65</v>
      </c>
      <c r="G278" s="2" t="s">
        <v>55</v>
      </c>
      <c r="H278" s="2">
        <v>30</v>
      </c>
      <c r="I278" s="4">
        <v>1546.96</v>
      </c>
      <c r="J278" s="2">
        <v>15</v>
      </c>
      <c r="K278" s="2">
        <v>18</v>
      </c>
      <c r="L278" s="2" t="s">
        <v>49</v>
      </c>
      <c r="M278" s="4">
        <f t="shared" si="16"/>
        <v>46408.800000000003</v>
      </c>
      <c r="N278" s="4">
        <f t="shared" si="17"/>
        <v>6961.32</v>
      </c>
      <c r="O278" s="4">
        <f t="shared" si="18"/>
        <v>7100.5464000000002</v>
      </c>
      <c r="P278" s="4">
        <f t="shared" si="19"/>
        <v>46548.026400000002</v>
      </c>
    </row>
    <row r="279" spans="1:16" x14ac:dyDescent="0.25">
      <c r="A279" s="5" t="s">
        <v>342</v>
      </c>
      <c r="B279" s="6">
        <v>45351</v>
      </c>
      <c r="C279" s="5" t="s">
        <v>17</v>
      </c>
      <c r="D279" s="5" t="s">
        <v>25</v>
      </c>
      <c r="E279" s="5" t="s">
        <v>29</v>
      </c>
      <c r="F279" s="5" t="s">
        <v>30</v>
      </c>
      <c r="G279" s="5" t="s">
        <v>31</v>
      </c>
      <c r="H279" s="5">
        <v>19</v>
      </c>
      <c r="I279" s="7">
        <v>837.79</v>
      </c>
      <c r="J279" s="5">
        <v>0</v>
      </c>
      <c r="K279" s="5">
        <v>18</v>
      </c>
      <c r="L279" s="5" t="s">
        <v>22</v>
      </c>
      <c r="M279" s="7">
        <f t="shared" si="16"/>
        <v>15918.009999999998</v>
      </c>
      <c r="N279" s="7">
        <f t="shared" si="17"/>
        <v>0</v>
      </c>
      <c r="O279" s="7">
        <f t="shared" si="18"/>
        <v>2865.2417999999998</v>
      </c>
      <c r="P279" s="7">
        <f t="shared" si="19"/>
        <v>18783.251799999998</v>
      </c>
    </row>
    <row r="280" spans="1:16" x14ac:dyDescent="0.25">
      <c r="A280" s="2" t="s">
        <v>343</v>
      </c>
      <c r="B280" s="3">
        <v>45341</v>
      </c>
      <c r="C280" s="2" t="s">
        <v>17</v>
      </c>
      <c r="D280" s="2" t="s">
        <v>64</v>
      </c>
      <c r="E280" s="2" t="s">
        <v>44</v>
      </c>
      <c r="F280" s="2" t="s">
        <v>93</v>
      </c>
      <c r="G280" s="2" t="s">
        <v>31</v>
      </c>
      <c r="H280" s="2">
        <v>34</v>
      </c>
      <c r="I280" s="4">
        <v>971.02</v>
      </c>
      <c r="J280" s="2">
        <v>10</v>
      </c>
      <c r="K280" s="2">
        <v>18</v>
      </c>
      <c r="L280" s="2" t="s">
        <v>22</v>
      </c>
      <c r="M280" s="4">
        <f t="shared" si="16"/>
        <v>33014.68</v>
      </c>
      <c r="N280" s="4">
        <f t="shared" si="17"/>
        <v>3301.4679999999998</v>
      </c>
      <c r="O280" s="4">
        <f t="shared" si="18"/>
        <v>5348.3781600000002</v>
      </c>
      <c r="P280" s="4">
        <f t="shared" si="19"/>
        <v>35061.59016</v>
      </c>
    </row>
    <row r="281" spans="1:16" x14ac:dyDescent="0.25">
      <c r="A281" s="5" t="s">
        <v>344</v>
      </c>
      <c r="B281" s="6">
        <v>45623</v>
      </c>
      <c r="C281" s="5" t="s">
        <v>17</v>
      </c>
      <c r="D281" s="5" t="s">
        <v>60</v>
      </c>
      <c r="E281" s="5" t="s">
        <v>35</v>
      </c>
      <c r="F281" s="5" t="s">
        <v>76</v>
      </c>
      <c r="G281" s="5" t="s">
        <v>55</v>
      </c>
      <c r="H281" s="5">
        <v>46</v>
      </c>
      <c r="I281" s="7">
        <v>239.02</v>
      </c>
      <c r="J281" s="5">
        <v>5</v>
      </c>
      <c r="K281" s="5">
        <v>18</v>
      </c>
      <c r="L281" s="5" t="s">
        <v>22</v>
      </c>
      <c r="M281" s="7">
        <f t="shared" si="16"/>
        <v>10994.92</v>
      </c>
      <c r="N281" s="7">
        <f t="shared" si="17"/>
        <v>549.74599999999998</v>
      </c>
      <c r="O281" s="7">
        <f t="shared" si="18"/>
        <v>1880.1313200000002</v>
      </c>
      <c r="P281" s="7">
        <f t="shared" si="19"/>
        <v>12325.305320000001</v>
      </c>
    </row>
    <row r="282" spans="1:16" x14ac:dyDescent="0.25">
      <c r="A282" s="2" t="s">
        <v>345</v>
      </c>
      <c r="B282" s="3">
        <v>45410</v>
      </c>
      <c r="C282" s="2" t="s">
        <v>47</v>
      </c>
      <c r="D282" s="2" t="s">
        <v>34</v>
      </c>
      <c r="E282" s="2" t="s">
        <v>19</v>
      </c>
      <c r="F282" s="2" t="s">
        <v>57</v>
      </c>
      <c r="G282" s="2" t="s">
        <v>21</v>
      </c>
      <c r="H282" s="2">
        <v>36</v>
      </c>
      <c r="I282" s="4">
        <v>858.48</v>
      </c>
      <c r="J282" s="2">
        <v>10</v>
      </c>
      <c r="K282" s="2">
        <v>18</v>
      </c>
      <c r="L282" s="2" t="s">
        <v>22</v>
      </c>
      <c r="M282" s="4">
        <f t="shared" si="16"/>
        <v>30905.279999999999</v>
      </c>
      <c r="N282" s="4">
        <f t="shared" si="17"/>
        <v>3090.5279999999998</v>
      </c>
      <c r="O282" s="4">
        <f t="shared" si="18"/>
        <v>5006.6553600000007</v>
      </c>
      <c r="P282" s="4">
        <f t="shared" si="19"/>
        <v>32821.407359999997</v>
      </c>
    </row>
    <row r="283" spans="1:16" x14ac:dyDescent="0.25">
      <c r="A283" s="5" t="s">
        <v>346</v>
      </c>
      <c r="B283" s="6">
        <v>45522</v>
      </c>
      <c r="C283" s="5" t="s">
        <v>47</v>
      </c>
      <c r="D283" s="5" t="s">
        <v>54</v>
      </c>
      <c r="E283" s="5" t="s">
        <v>35</v>
      </c>
      <c r="F283" s="5" t="s">
        <v>88</v>
      </c>
      <c r="G283" s="5" t="s">
        <v>31</v>
      </c>
      <c r="H283" s="5">
        <v>48</v>
      </c>
      <c r="I283" s="7">
        <v>1232.07</v>
      </c>
      <c r="J283" s="5">
        <v>0</v>
      </c>
      <c r="K283" s="5">
        <v>18</v>
      </c>
      <c r="L283" s="5" t="s">
        <v>22</v>
      </c>
      <c r="M283" s="7">
        <f t="shared" si="16"/>
        <v>59139.360000000001</v>
      </c>
      <c r="N283" s="7">
        <f t="shared" si="17"/>
        <v>0</v>
      </c>
      <c r="O283" s="7">
        <f t="shared" si="18"/>
        <v>10645.084800000001</v>
      </c>
      <c r="P283" s="7">
        <f t="shared" si="19"/>
        <v>69784.444799999997</v>
      </c>
    </row>
    <row r="284" spans="1:16" x14ac:dyDescent="0.25">
      <c r="A284" s="2" t="s">
        <v>347</v>
      </c>
      <c r="B284" s="3">
        <v>45587</v>
      </c>
      <c r="C284" s="2" t="s">
        <v>24</v>
      </c>
      <c r="D284" s="2" t="s">
        <v>25</v>
      </c>
      <c r="E284" s="2" t="s">
        <v>29</v>
      </c>
      <c r="F284" s="2" t="s">
        <v>74</v>
      </c>
      <c r="G284" s="2" t="s">
        <v>21</v>
      </c>
      <c r="H284" s="2">
        <v>18</v>
      </c>
      <c r="I284" s="4">
        <v>1507.13</v>
      </c>
      <c r="J284" s="2">
        <v>0</v>
      </c>
      <c r="K284" s="2">
        <v>18</v>
      </c>
      <c r="L284" s="2" t="s">
        <v>22</v>
      </c>
      <c r="M284" s="4">
        <f t="shared" si="16"/>
        <v>27128.340000000004</v>
      </c>
      <c r="N284" s="4">
        <f t="shared" si="17"/>
        <v>0</v>
      </c>
      <c r="O284" s="4">
        <f t="shared" si="18"/>
        <v>4883.101200000001</v>
      </c>
      <c r="P284" s="4">
        <f t="shared" si="19"/>
        <v>32011.441200000005</v>
      </c>
    </row>
    <row r="285" spans="1:16" x14ac:dyDescent="0.25">
      <c r="A285" s="5" t="s">
        <v>348</v>
      </c>
      <c r="B285" s="6">
        <v>45542</v>
      </c>
      <c r="C285" s="5" t="s">
        <v>47</v>
      </c>
      <c r="D285" s="5" t="s">
        <v>64</v>
      </c>
      <c r="E285" s="5" t="s">
        <v>19</v>
      </c>
      <c r="F285" s="5" t="s">
        <v>26</v>
      </c>
      <c r="G285" s="5" t="s">
        <v>55</v>
      </c>
      <c r="H285" s="5">
        <v>30</v>
      </c>
      <c r="I285" s="7">
        <v>236.77</v>
      </c>
      <c r="J285" s="5">
        <v>20</v>
      </c>
      <c r="K285" s="5">
        <v>18</v>
      </c>
      <c r="L285" s="5" t="s">
        <v>22</v>
      </c>
      <c r="M285" s="7">
        <f t="shared" si="16"/>
        <v>7103.1</v>
      </c>
      <c r="N285" s="7">
        <f t="shared" si="17"/>
        <v>1420.62</v>
      </c>
      <c r="O285" s="7">
        <f t="shared" si="18"/>
        <v>1022.8464000000001</v>
      </c>
      <c r="P285" s="7">
        <f t="shared" si="19"/>
        <v>6705.3264000000008</v>
      </c>
    </row>
    <row r="286" spans="1:16" x14ac:dyDescent="0.25">
      <c r="A286" s="2" t="s">
        <v>349</v>
      </c>
      <c r="B286" s="3">
        <v>45380</v>
      </c>
      <c r="C286" s="2" t="s">
        <v>24</v>
      </c>
      <c r="D286" s="2" t="s">
        <v>54</v>
      </c>
      <c r="E286" s="2" t="s">
        <v>29</v>
      </c>
      <c r="F286" s="2" t="s">
        <v>41</v>
      </c>
      <c r="G286" s="2" t="s">
        <v>27</v>
      </c>
      <c r="H286" s="2">
        <v>23</v>
      </c>
      <c r="I286" s="4">
        <v>1692.58</v>
      </c>
      <c r="J286" s="2">
        <v>15</v>
      </c>
      <c r="K286" s="2">
        <v>18</v>
      </c>
      <c r="L286" s="2" t="s">
        <v>22</v>
      </c>
      <c r="M286" s="4">
        <f t="shared" si="16"/>
        <v>38929.339999999997</v>
      </c>
      <c r="N286" s="4">
        <f t="shared" si="17"/>
        <v>5839.4009999999998</v>
      </c>
      <c r="O286" s="4">
        <f t="shared" si="18"/>
        <v>5956.1890199999998</v>
      </c>
      <c r="P286" s="4">
        <f t="shared" si="19"/>
        <v>39046.128019999996</v>
      </c>
    </row>
    <row r="287" spans="1:16" x14ac:dyDescent="0.25">
      <c r="A287" s="5" t="s">
        <v>350</v>
      </c>
      <c r="B287" s="6">
        <v>45483</v>
      </c>
      <c r="C287" s="5" t="s">
        <v>59</v>
      </c>
      <c r="D287" s="5" t="s">
        <v>34</v>
      </c>
      <c r="E287" s="5" t="s">
        <v>38</v>
      </c>
      <c r="F287" s="5" t="s">
        <v>39</v>
      </c>
      <c r="G287" s="5" t="s">
        <v>55</v>
      </c>
      <c r="H287" s="5">
        <v>16</v>
      </c>
      <c r="I287" s="7">
        <v>617.71</v>
      </c>
      <c r="J287" s="5">
        <v>0</v>
      </c>
      <c r="K287" s="5">
        <v>18</v>
      </c>
      <c r="L287" s="5" t="s">
        <v>22</v>
      </c>
      <c r="M287" s="7">
        <f t="shared" si="16"/>
        <v>9883.36</v>
      </c>
      <c r="N287" s="7">
        <f t="shared" si="17"/>
        <v>0</v>
      </c>
      <c r="O287" s="7">
        <f t="shared" si="18"/>
        <v>1779.0048000000002</v>
      </c>
      <c r="P287" s="7">
        <f t="shared" si="19"/>
        <v>11662.364800000001</v>
      </c>
    </row>
    <row r="288" spans="1:16" x14ac:dyDescent="0.25">
      <c r="A288" s="2" t="s">
        <v>351</v>
      </c>
      <c r="B288" s="3">
        <v>45617</v>
      </c>
      <c r="C288" s="2" t="s">
        <v>24</v>
      </c>
      <c r="D288" s="2" t="s">
        <v>54</v>
      </c>
      <c r="E288" s="2" t="s">
        <v>44</v>
      </c>
      <c r="F288" s="2" t="s">
        <v>141</v>
      </c>
      <c r="G288" s="2" t="s">
        <v>21</v>
      </c>
      <c r="H288" s="2">
        <v>25</v>
      </c>
      <c r="I288" s="4">
        <v>851.85</v>
      </c>
      <c r="J288" s="2">
        <v>10</v>
      </c>
      <c r="K288" s="2">
        <v>18</v>
      </c>
      <c r="L288" s="2" t="s">
        <v>32</v>
      </c>
      <c r="M288" s="4">
        <f t="shared" si="16"/>
        <v>21296.25</v>
      </c>
      <c r="N288" s="4">
        <f t="shared" si="17"/>
        <v>2129.625</v>
      </c>
      <c r="O288" s="4">
        <f t="shared" si="18"/>
        <v>3449.9924999999998</v>
      </c>
      <c r="P288" s="4">
        <f t="shared" si="19"/>
        <v>22616.6175</v>
      </c>
    </row>
    <row r="289" spans="1:16" x14ac:dyDescent="0.25">
      <c r="A289" s="5" t="s">
        <v>352</v>
      </c>
      <c r="B289" s="6">
        <v>45609</v>
      </c>
      <c r="C289" s="5" t="s">
        <v>47</v>
      </c>
      <c r="D289" s="5" t="s">
        <v>52</v>
      </c>
      <c r="E289" s="5" t="s">
        <v>29</v>
      </c>
      <c r="F289" s="5" t="s">
        <v>30</v>
      </c>
      <c r="G289" s="5" t="s">
        <v>55</v>
      </c>
      <c r="H289" s="5">
        <v>12</v>
      </c>
      <c r="I289" s="7">
        <v>636.01</v>
      </c>
      <c r="J289" s="5">
        <v>10</v>
      </c>
      <c r="K289" s="5">
        <v>18</v>
      </c>
      <c r="L289" s="5" t="s">
        <v>22</v>
      </c>
      <c r="M289" s="7">
        <f t="shared" si="16"/>
        <v>7632.12</v>
      </c>
      <c r="N289" s="7">
        <f t="shared" si="17"/>
        <v>763.21199999999999</v>
      </c>
      <c r="O289" s="7">
        <f t="shared" si="18"/>
        <v>1236.4034399999998</v>
      </c>
      <c r="P289" s="7">
        <f t="shared" si="19"/>
        <v>8105.3114399999995</v>
      </c>
    </row>
    <row r="290" spans="1:16" x14ac:dyDescent="0.25">
      <c r="A290" s="2" t="s">
        <v>353</v>
      </c>
      <c r="B290" s="3">
        <v>45626</v>
      </c>
      <c r="C290" s="2" t="s">
        <v>59</v>
      </c>
      <c r="D290" s="2" t="s">
        <v>52</v>
      </c>
      <c r="E290" s="2" t="s">
        <v>19</v>
      </c>
      <c r="F290" s="2" t="s">
        <v>62</v>
      </c>
      <c r="G290" s="2" t="s">
        <v>21</v>
      </c>
      <c r="H290" s="2">
        <v>25</v>
      </c>
      <c r="I290" s="4">
        <v>1928.02</v>
      </c>
      <c r="J290" s="2">
        <v>15</v>
      </c>
      <c r="K290" s="2">
        <v>18</v>
      </c>
      <c r="L290" s="2" t="s">
        <v>22</v>
      </c>
      <c r="M290" s="4">
        <f t="shared" si="16"/>
        <v>48200.5</v>
      </c>
      <c r="N290" s="4">
        <f t="shared" si="17"/>
        <v>7230.0749999999998</v>
      </c>
      <c r="O290" s="4">
        <f t="shared" si="18"/>
        <v>7374.6765000000005</v>
      </c>
      <c r="P290" s="4">
        <f t="shared" si="19"/>
        <v>48345.101500000004</v>
      </c>
    </row>
    <row r="291" spans="1:16" x14ac:dyDescent="0.25">
      <c r="A291" s="5" t="s">
        <v>354</v>
      </c>
      <c r="B291" s="6">
        <v>45404</v>
      </c>
      <c r="C291" s="5" t="s">
        <v>24</v>
      </c>
      <c r="D291" s="5" t="s">
        <v>54</v>
      </c>
      <c r="E291" s="5" t="s">
        <v>35</v>
      </c>
      <c r="F291" s="5" t="s">
        <v>76</v>
      </c>
      <c r="G291" s="5" t="s">
        <v>31</v>
      </c>
      <c r="H291" s="5">
        <v>11</v>
      </c>
      <c r="I291" s="7">
        <v>174.51</v>
      </c>
      <c r="J291" s="5">
        <v>0</v>
      </c>
      <c r="K291" s="5">
        <v>18</v>
      </c>
      <c r="L291" s="5" t="s">
        <v>49</v>
      </c>
      <c r="M291" s="7">
        <f t="shared" si="16"/>
        <v>1919.61</v>
      </c>
      <c r="N291" s="7">
        <f t="shared" si="17"/>
        <v>0</v>
      </c>
      <c r="O291" s="7">
        <f t="shared" si="18"/>
        <v>345.52979999999997</v>
      </c>
      <c r="P291" s="7">
        <f t="shared" si="19"/>
        <v>2265.1397999999999</v>
      </c>
    </row>
    <row r="292" spans="1:16" x14ac:dyDescent="0.25">
      <c r="A292" s="2" t="s">
        <v>355</v>
      </c>
      <c r="B292" s="3">
        <v>45545</v>
      </c>
      <c r="C292" s="2" t="s">
        <v>17</v>
      </c>
      <c r="D292" s="2" t="s">
        <v>18</v>
      </c>
      <c r="E292" s="2" t="s">
        <v>38</v>
      </c>
      <c r="F292" s="2" t="s">
        <v>48</v>
      </c>
      <c r="G292" s="2" t="s">
        <v>55</v>
      </c>
      <c r="H292" s="2">
        <v>50</v>
      </c>
      <c r="I292" s="4">
        <v>920.07</v>
      </c>
      <c r="J292" s="2">
        <v>20</v>
      </c>
      <c r="K292" s="2">
        <v>18</v>
      </c>
      <c r="L292" s="2" t="s">
        <v>22</v>
      </c>
      <c r="M292" s="4">
        <f t="shared" si="16"/>
        <v>46003.5</v>
      </c>
      <c r="N292" s="4">
        <f t="shared" si="17"/>
        <v>9200.7000000000007</v>
      </c>
      <c r="O292" s="4">
        <f t="shared" si="18"/>
        <v>6624.5039999999999</v>
      </c>
      <c r="P292" s="4">
        <f t="shared" si="19"/>
        <v>43427.304000000004</v>
      </c>
    </row>
    <row r="293" spans="1:16" x14ac:dyDescent="0.25">
      <c r="A293" s="5" t="s">
        <v>356</v>
      </c>
      <c r="B293" s="6">
        <v>45517</v>
      </c>
      <c r="C293" s="5" t="s">
        <v>59</v>
      </c>
      <c r="D293" s="5" t="s">
        <v>60</v>
      </c>
      <c r="E293" s="5" t="s">
        <v>29</v>
      </c>
      <c r="F293" s="5" t="s">
        <v>65</v>
      </c>
      <c r="G293" s="5" t="s">
        <v>55</v>
      </c>
      <c r="H293" s="5">
        <v>24</v>
      </c>
      <c r="I293" s="7">
        <v>1088.67</v>
      </c>
      <c r="J293" s="5">
        <v>0</v>
      </c>
      <c r="K293" s="5">
        <v>18</v>
      </c>
      <c r="L293" s="5" t="s">
        <v>32</v>
      </c>
      <c r="M293" s="7">
        <f t="shared" si="16"/>
        <v>26128.080000000002</v>
      </c>
      <c r="N293" s="7">
        <f t="shared" si="17"/>
        <v>0</v>
      </c>
      <c r="O293" s="7">
        <f t="shared" si="18"/>
        <v>4703.0544000000009</v>
      </c>
      <c r="P293" s="7">
        <f t="shared" si="19"/>
        <v>30831.134400000003</v>
      </c>
    </row>
    <row r="294" spans="1:16" x14ac:dyDescent="0.25">
      <c r="A294" s="2" t="s">
        <v>357</v>
      </c>
      <c r="B294" s="3">
        <v>45336</v>
      </c>
      <c r="C294" s="2" t="s">
        <v>24</v>
      </c>
      <c r="D294" s="2" t="s">
        <v>60</v>
      </c>
      <c r="E294" s="2" t="s">
        <v>29</v>
      </c>
      <c r="F294" s="2" t="s">
        <v>30</v>
      </c>
      <c r="G294" s="2" t="s">
        <v>21</v>
      </c>
      <c r="H294" s="2">
        <v>3</v>
      </c>
      <c r="I294" s="4">
        <v>904.97</v>
      </c>
      <c r="J294" s="2">
        <v>5</v>
      </c>
      <c r="K294" s="2">
        <v>18</v>
      </c>
      <c r="L294" s="2" t="s">
        <v>22</v>
      </c>
      <c r="M294" s="4">
        <f t="shared" si="16"/>
        <v>2714.91</v>
      </c>
      <c r="N294" s="4">
        <f t="shared" si="17"/>
        <v>135.74549999999999</v>
      </c>
      <c r="O294" s="4">
        <f t="shared" si="18"/>
        <v>464.24960999999996</v>
      </c>
      <c r="P294" s="4">
        <f t="shared" si="19"/>
        <v>3043.4141099999997</v>
      </c>
    </row>
    <row r="295" spans="1:16" x14ac:dyDescent="0.25">
      <c r="A295" s="5" t="s">
        <v>358</v>
      </c>
      <c r="B295" s="6">
        <v>45363</v>
      </c>
      <c r="C295" s="5" t="s">
        <v>47</v>
      </c>
      <c r="D295" s="5" t="s">
        <v>18</v>
      </c>
      <c r="E295" s="5" t="s">
        <v>35</v>
      </c>
      <c r="F295" s="5" t="s">
        <v>82</v>
      </c>
      <c r="G295" s="5" t="s">
        <v>55</v>
      </c>
      <c r="H295" s="5">
        <v>41</v>
      </c>
      <c r="I295" s="7">
        <v>862.05</v>
      </c>
      <c r="J295" s="5">
        <v>15</v>
      </c>
      <c r="K295" s="5">
        <v>18</v>
      </c>
      <c r="L295" s="5" t="s">
        <v>32</v>
      </c>
      <c r="M295" s="7">
        <f t="shared" si="16"/>
        <v>35344.049999999996</v>
      </c>
      <c r="N295" s="7">
        <f t="shared" si="17"/>
        <v>5301.6074999999992</v>
      </c>
      <c r="O295" s="7">
        <f t="shared" si="18"/>
        <v>5407.6396500000001</v>
      </c>
      <c r="P295" s="7">
        <f t="shared" si="19"/>
        <v>35450.082149999995</v>
      </c>
    </row>
    <row r="296" spans="1:16" x14ac:dyDescent="0.25">
      <c r="A296" s="2" t="s">
        <v>359</v>
      </c>
      <c r="B296" s="3">
        <v>45441</v>
      </c>
      <c r="C296" s="2" t="s">
        <v>59</v>
      </c>
      <c r="D296" s="2" t="s">
        <v>64</v>
      </c>
      <c r="E296" s="2" t="s">
        <v>44</v>
      </c>
      <c r="F296" s="2" t="s">
        <v>78</v>
      </c>
      <c r="G296" s="2" t="s">
        <v>55</v>
      </c>
      <c r="H296" s="2">
        <v>35</v>
      </c>
      <c r="I296" s="4">
        <v>345.07</v>
      </c>
      <c r="J296" s="2">
        <v>20</v>
      </c>
      <c r="K296" s="2">
        <v>18</v>
      </c>
      <c r="L296" s="2" t="s">
        <v>32</v>
      </c>
      <c r="M296" s="4">
        <f t="shared" si="16"/>
        <v>12077.449999999999</v>
      </c>
      <c r="N296" s="4">
        <f t="shared" si="17"/>
        <v>2415.4899999999998</v>
      </c>
      <c r="O296" s="4">
        <f t="shared" si="18"/>
        <v>1739.1527999999996</v>
      </c>
      <c r="P296" s="4">
        <f t="shared" si="19"/>
        <v>11401.112799999999</v>
      </c>
    </row>
    <row r="297" spans="1:16" x14ac:dyDescent="0.25">
      <c r="A297" s="5" t="s">
        <v>360</v>
      </c>
      <c r="B297" s="6">
        <v>45356</v>
      </c>
      <c r="C297" s="5" t="s">
        <v>17</v>
      </c>
      <c r="D297" s="5" t="s">
        <v>60</v>
      </c>
      <c r="E297" s="5" t="s">
        <v>38</v>
      </c>
      <c r="F297" s="5" t="s">
        <v>39</v>
      </c>
      <c r="G297" s="5" t="s">
        <v>21</v>
      </c>
      <c r="H297" s="5">
        <v>4</v>
      </c>
      <c r="I297" s="7">
        <v>1985.05</v>
      </c>
      <c r="J297" s="5">
        <v>20</v>
      </c>
      <c r="K297" s="5">
        <v>18</v>
      </c>
      <c r="L297" s="5" t="s">
        <v>49</v>
      </c>
      <c r="M297" s="7">
        <f t="shared" si="16"/>
        <v>7940.2</v>
      </c>
      <c r="N297" s="7">
        <f t="shared" si="17"/>
        <v>1588.04</v>
      </c>
      <c r="O297" s="7">
        <f t="shared" si="18"/>
        <v>1143.3887999999999</v>
      </c>
      <c r="P297" s="7">
        <f t="shared" si="19"/>
        <v>7495.5487999999996</v>
      </c>
    </row>
    <row r="298" spans="1:16" x14ac:dyDescent="0.25">
      <c r="A298" s="2" t="s">
        <v>361</v>
      </c>
      <c r="B298" s="3">
        <v>45429</v>
      </c>
      <c r="C298" s="2" t="s">
        <v>47</v>
      </c>
      <c r="D298" s="2" t="s">
        <v>64</v>
      </c>
      <c r="E298" s="2" t="s">
        <v>44</v>
      </c>
      <c r="F298" s="2" t="s">
        <v>78</v>
      </c>
      <c r="G298" s="2" t="s">
        <v>21</v>
      </c>
      <c r="H298" s="2">
        <v>32</v>
      </c>
      <c r="I298" s="4">
        <v>292.92</v>
      </c>
      <c r="J298" s="2">
        <v>20</v>
      </c>
      <c r="K298" s="2">
        <v>18</v>
      </c>
      <c r="L298" s="2" t="s">
        <v>49</v>
      </c>
      <c r="M298" s="4">
        <f t="shared" si="16"/>
        <v>9373.44</v>
      </c>
      <c r="N298" s="4">
        <f t="shared" si="17"/>
        <v>1874.6880000000001</v>
      </c>
      <c r="O298" s="4">
        <f t="shared" si="18"/>
        <v>1349.7753600000003</v>
      </c>
      <c r="P298" s="4">
        <f t="shared" si="19"/>
        <v>8848.52736</v>
      </c>
    </row>
    <row r="299" spans="1:16" x14ac:dyDescent="0.25">
      <c r="A299" s="5" t="s">
        <v>362</v>
      </c>
      <c r="B299" s="6">
        <v>45480</v>
      </c>
      <c r="C299" s="5" t="s">
        <v>24</v>
      </c>
      <c r="D299" s="5" t="s">
        <v>60</v>
      </c>
      <c r="E299" s="5" t="s">
        <v>35</v>
      </c>
      <c r="F299" s="5" t="s">
        <v>76</v>
      </c>
      <c r="G299" s="5" t="s">
        <v>27</v>
      </c>
      <c r="H299" s="5">
        <v>33</v>
      </c>
      <c r="I299" s="7">
        <v>1502.11</v>
      </c>
      <c r="J299" s="5">
        <v>20</v>
      </c>
      <c r="K299" s="5">
        <v>18</v>
      </c>
      <c r="L299" s="5" t="s">
        <v>49</v>
      </c>
      <c r="M299" s="7">
        <f t="shared" si="16"/>
        <v>49569.63</v>
      </c>
      <c r="N299" s="7">
        <f t="shared" si="17"/>
        <v>9913.9259999999995</v>
      </c>
      <c r="O299" s="7">
        <f t="shared" si="18"/>
        <v>7138.0267199999998</v>
      </c>
      <c r="P299" s="7">
        <f t="shared" si="19"/>
        <v>46793.73072</v>
      </c>
    </row>
    <row r="300" spans="1:16" x14ac:dyDescent="0.25">
      <c r="A300" s="2" t="s">
        <v>363</v>
      </c>
      <c r="B300" s="3">
        <v>45324</v>
      </c>
      <c r="C300" s="2" t="s">
        <v>17</v>
      </c>
      <c r="D300" s="2" t="s">
        <v>25</v>
      </c>
      <c r="E300" s="2" t="s">
        <v>35</v>
      </c>
      <c r="F300" s="2" t="s">
        <v>76</v>
      </c>
      <c r="G300" s="2" t="s">
        <v>27</v>
      </c>
      <c r="H300" s="2">
        <v>41</v>
      </c>
      <c r="I300" s="4">
        <v>1331.65</v>
      </c>
      <c r="J300" s="2">
        <v>5</v>
      </c>
      <c r="K300" s="2">
        <v>18</v>
      </c>
      <c r="L300" s="2" t="s">
        <v>49</v>
      </c>
      <c r="M300" s="4">
        <f t="shared" si="16"/>
        <v>54597.65</v>
      </c>
      <c r="N300" s="4">
        <f t="shared" si="17"/>
        <v>2729.8825000000002</v>
      </c>
      <c r="O300" s="4">
        <f t="shared" si="18"/>
        <v>9336.1981500000002</v>
      </c>
      <c r="P300" s="4">
        <f t="shared" si="19"/>
        <v>61203.965649999998</v>
      </c>
    </row>
    <row r="301" spans="1:16" x14ac:dyDescent="0.25">
      <c r="A301" s="5" t="s">
        <v>364</v>
      </c>
      <c r="B301" s="6">
        <v>45464</v>
      </c>
      <c r="C301" s="5" t="s">
        <v>47</v>
      </c>
      <c r="D301" s="5" t="s">
        <v>54</v>
      </c>
      <c r="E301" s="5" t="s">
        <v>29</v>
      </c>
      <c r="F301" s="5" t="s">
        <v>74</v>
      </c>
      <c r="G301" s="5" t="s">
        <v>21</v>
      </c>
      <c r="H301" s="5">
        <v>18</v>
      </c>
      <c r="I301" s="7">
        <v>652.5</v>
      </c>
      <c r="J301" s="5">
        <v>5</v>
      </c>
      <c r="K301" s="5">
        <v>18</v>
      </c>
      <c r="L301" s="5" t="s">
        <v>49</v>
      </c>
      <c r="M301" s="7">
        <f t="shared" si="16"/>
        <v>11745</v>
      </c>
      <c r="N301" s="7">
        <f t="shared" si="17"/>
        <v>587.25</v>
      </c>
      <c r="O301" s="7">
        <f t="shared" si="18"/>
        <v>2008.395</v>
      </c>
      <c r="P301" s="7">
        <f t="shared" si="19"/>
        <v>13166.145</v>
      </c>
    </row>
    <row r="302" spans="1:16" x14ac:dyDescent="0.25">
      <c r="A302" s="2" t="s">
        <v>365</v>
      </c>
      <c r="B302" s="3">
        <v>45300</v>
      </c>
      <c r="C302" s="2" t="s">
        <v>47</v>
      </c>
      <c r="D302" s="2" t="s">
        <v>52</v>
      </c>
      <c r="E302" s="2" t="s">
        <v>29</v>
      </c>
      <c r="F302" s="2" t="s">
        <v>65</v>
      </c>
      <c r="G302" s="2" t="s">
        <v>55</v>
      </c>
      <c r="H302" s="2">
        <v>3</v>
      </c>
      <c r="I302" s="4">
        <v>208.15</v>
      </c>
      <c r="J302" s="2">
        <v>10</v>
      </c>
      <c r="K302" s="2">
        <v>18</v>
      </c>
      <c r="L302" s="2" t="s">
        <v>22</v>
      </c>
      <c r="M302" s="4">
        <f t="shared" si="16"/>
        <v>624.45000000000005</v>
      </c>
      <c r="N302" s="4">
        <f t="shared" si="17"/>
        <v>62.445</v>
      </c>
      <c r="O302" s="4">
        <f t="shared" si="18"/>
        <v>101.1609</v>
      </c>
      <c r="P302" s="4">
        <f t="shared" si="19"/>
        <v>663.16589999999997</v>
      </c>
    </row>
    <row r="303" spans="1:16" x14ac:dyDescent="0.25">
      <c r="A303" s="5" t="s">
        <v>366</v>
      </c>
      <c r="B303" s="6">
        <v>45624</v>
      </c>
      <c r="C303" s="5" t="s">
        <v>24</v>
      </c>
      <c r="D303" s="5" t="s">
        <v>52</v>
      </c>
      <c r="E303" s="5" t="s">
        <v>19</v>
      </c>
      <c r="F303" s="5" t="s">
        <v>57</v>
      </c>
      <c r="G303" s="5" t="s">
        <v>27</v>
      </c>
      <c r="H303" s="5">
        <v>13</v>
      </c>
      <c r="I303" s="7">
        <v>1991.43</v>
      </c>
      <c r="J303" s="5">
        <v>0</v>
      </c>
      <c r="K303" s="5">
        <v>18</v>
      </c>
      <c r="L303" s="5" t="s">
        <v>49</v>
      </c>
      <c r="M303" s="7">
        <f t="shared" si="16"/>
        <v>25888.59</v>
      </c>
      <c r="N303" s="7">
        <f t="shared" si="17"/>
        <v>0</v>
      </c>
      <c r="O303" s="7">
        <f t="shared" si="18"/>
        <v>4659.9462000000003</v>
      </c>
      <c r="P303" s="7">
        <f t="shared" si="19"/>
        <v>30548.536200000002</v>
      </c>
    </row>
    <row r="304" spans="1:16" x14ac:dyDescent="0.25">
      <c r="A304" s="2" t="s">
        <v>367</v>
      </c>
      <c r="B304" s="3">
        <v>45376</v>
      </c>
      <c r="C304" s="2" t="s">
        <v>17</v>
      </c>
      <c r="D304" s="2" t="s">
        <v>60</v>
      </c>
      <c r="E304" s="2" t="s">
        <v>38</v>
      </c>
      <c r="F304" s="2" t="s">
        <v>96</v>
      </c>
      <c r="G304" s="2" t="s">
        <v>55</v>
      </c>
      <c r="H304" s="2">
        <v>6</v>
      </c>
      <c r="I304" s="4">
        <v>749.97</v>
      </c>
      <c r="J304" s="2">
        <v>20</v>
      </c>
      <c r="K304" s="2">
        <v>18</v>
      </c>
      <c r="L304" s="2" t="s">
        <v>22</v>
      </c>
      <c r="M304" s="4">
        <f t="shared" si="16"/>
        <v>4499.82</v>
      </c>
      <c r="N304" s="4">
        <f t="shared" si="17"/>
        <v>899.96399999999994</v>
      </c>
      <c r="O304" s="4">
        <f t="shared" si="18"/>
        <v>647.97407999999996</v>
      </c>
      <c r="P304" s="4">
        <f t="shared" si="19"/>
        <v>4247.8300799999997</v>
      </c>
    </row>
    <row r="305" spans="1:16" x14ac:dyDescent="0.25">
      <c r="A305" s="5" t="s">
        <v>368</v>
      </c>
      <c r="B305" s="6">
        <v>45536</v>
      </c>
      <c r="C305" s="5" t="s">
        <v>17</v>
      </c>
      <c r="D305" s="5" t="s">
        <v>18</v>
      </c>
      <c r="E305" s="5" t="s">
        <v>19</v>
      </c>
      <c r="F305" s="5" t="s">
        <v>157</v>
      </c>
      <c r="G305" s="5" t="s">
        <v>31</v>
      </c>
      <c r="H305" s="5">
        <v>46</v>
      </c>
      <c r="I305" s="7">
        <v>199.42</v>
      </c>
      <c r="J305" s="5">
        <v>0</v>
      </c>
      <c r="K305" s="5">
        <v>18</v>
      </c>
      <c r="L305" s="5" t="s">
        <v>22</v>
      </c>
      <c r="M305" s="7">
        <f t="shared" si="16"/>
        <v>9173.32</v>
      </c>
      <c r="N305" s="7">
        <f t="shared" si="17"/>
        <v>0</v>
      </c>
      <c r="O305" s="7">
        <f t="shared" si="18"/>
        <v>1651.1976000000002</v>
      </c>
      <c r="P305" s="7">
        <f t="shared" si="19"/>
        <v>10824.517599999999</v>
      </c>
    </row>
    <row r="306" spans="1:16" x14ac:dyDescent="0.25">
      <c r="A306" s="2" t="s">
        <v>369</v>
      </c>
      <c r="B306" s="3">
        <v>45508</v>
      </c>
      <c r="C306" s="2" t="s">
        <v>47</v>
      </c>
      <c r="D306" s="2" t="s">
        <v>52</v>
      </c>
      <c r="E306" s="2" t="s">
        <v>19</v>
      </c>
      <c r="F306" s="2" t="s">
        <v>57</v>
      </c>
      <c r="G306" s="2" t="s">
        <v>27</v>
      </c>
      <c r="H306" s="2">
        <v>45</v>
      </c>
      <c r="I306" s="4">
        <v>693.71</v>
      </c>
      <c r="J306" s="2">
        <v>0</v>
      </c>
      <c r="K306" s="2">
        <v>18</v>
      </c>
      <c r="L306" s="2" t="s">
        <v>22</v>
      </c>
      <c r="M306" s="4">
        <f t="shared" si="16"/>
        <v>31216.95</v>
      </c>
      <c r="N306" s="4">
        <f t="shared" si="17"/>
        <v>0</v>
      </c>
      <c r="O306" s="4">
        <f t="shared" si="18"/>
        <v>5619.0509999999995</v>
      </c>
      <c r="P306" s="4">
        <f t="shared" si="19"/>
        <v>36836.001000000004</v>
      </c>
    </row>
    <row r="307" spans="1:16" x14ac:dyDescent="0.25">
      <c r="A307" s="5" t="s">
        <v>370</v>
      </c>
      <c r="B307" s="6">
        <v>45452</v>
      </c>
      <c r="C307" s="5" t="s">
        <v>59</v>
      </c>
      <c r="D307" s="5" t="s">
        <v>18</v>
      </c>
      <c r="E307" s="5" t="s">
        <v>44</v>
      </c>
      <c r="F307" s="5" t="s">
        <v>91</v>
      </c>
      <c r="G307" s="5" t="s">
        <v>31</v>
      </c>
      <c r="H307" s="5">
        <v>47</v>
      </c>
      <c r="I307" s="7">
        <v>1613.85</v>
      </c>
      <c r="J307" s="5">
        <v>0</v>
      </c>
      <c r="K307" s="5">
        <v>18</v>
      </c>
      <c r="L307" s="5" t="s">
        <v>22</v>
      </c>
      <c r="M307" s="7">
        <f t="shared" si="16"/>
        <v>75850.95</v>
      </c>
      <c r="N307" s="7">
        <f t="shared" si="17"/>
        <v>0</v>
      </c>
      <c r="O307" s="7">
        <f t="shared" si="18"/>
        <v>13653.170999999998</v>
      </c>
      <c r="P307" s="7">
        <f t="shared" si="19"/>
        <v>89504.120999999999</v>
      </c>
    </row>
    <row r="308" spans="1:16" x14ac:dyDescent="0.25">
      <c r="A308" s="2" t="s">
        <v>371</v>
      </c>
      <c r="B308" s="3">
        <v>45604</v>
      </c>
      <c r="C308" s="2" t="s">
        <v>47</v>
      </c>
      <c r="D308" s="2" t="s">
        <v>54</v>
      </c>
      <c r="E308" s="2" t="s">
        <v>38</v>
      </c>
      <c r="F308" s="2" t="s">
        <v>135</v>
      </c>
      <c r="G308" s="2" t="s">
        <v>21</v>
      </c>
      <c r="H308" s="2">
        <v>5</v>
      </c>
      <c r="I308" s="4">
        <v>1065.71</v>
      </c>
      <c r="J308" s="2">
        <v>0</v>
      </c>
      <c r="K308" s="2">
        <v>18</v>
      </c>
      <c r="L308" s="2" t="s">
        <v>22</v>
      </c>
      <c r="M308" s="4">
        <f t="shared" si="16"/>
        <v>5328.55</v>
      </c>
      <c r="N308" s="4">
        <f t="shared" si="17"/>
        <v>0</v>
      </c>
      <c r="O308" s="4">
        <f t="shared" si="18"/>
        <v>959.13900000000012</v>
      </c>
      <c r="P308" s="4">
        <f t="shared" si="19"/>
        <v>6287.6890000000003</v>
      </c>
    </row>
    <row r="309" spans="1:16" x14ac:dyDescent="0.25">
      <c r="A309" s="5" t="s">
        <v>372</v>
      </c>
      <c r="B309" s="6">
        <v>45336</v>
      </c>
      <c r="C309" s="5" t="s">
        <v>17</v>
      </c>
      <c r="D309" s="5" t="s">
        <v>18</v>
      </c>
      <c r="E309" s="5" t="s">
        <v>44</v>
      </c>
      <c r="F309" s="5" t="s">
        <v>91</v>
      </c>
      <c r="G309" s="5" t="s">
        <v>21</v>
      </c>
      <c r="H309" s="5">
        <v>40</v>
      </c>
      <c r="I309" s="7">
        <v>1376.27</v>
      </c>
      <c r="J309" s="5">
        <v>0</v>
      </c>
      <c r="K309" s="5">
        <v>18</v>
      </c>
      <c r="L309" s="5" t="s">
        <v>49</v>
      </c>
      <c r="M309" s="7">
        <f t="shared" si="16"/>
        <v>55050.8</v>
      </c>
      <c r="N309" s="7">
        <f t="shared" si="17"/>
        <v>0</v>
      </c>
      <c r="O309" s="7">
        <f t="shared" si="18"/>
        <v>9909.1440000000002</v>
      </c>
      <c r="P309" s="7">
        <f t="shared" si="19"/>
        <v>64959.944000000003</v>
      </c>
    </row>
    <row r="310" spans="1:16" x14ac:dyDescent="0.25">
      <c r="A310" s="2" t="s">
        <v>373</v>
      </c>
      <c r="B310" s="3">
        <v>45433</v>
      </c>
      <c r="C310" s="2" t="s">
        <v>59</v>
      </c>
      <c r="D310" s="2" t="s">
        <v>54</v>
      </c>
      <c r="E310" s="2" t="s">
        <v>19</v>
      </c>
      <c r="F310" s="2" t="s">
        <v>57</v>
      </c>
      <c r="G310" s="2" t="s">
        <v>55</v>
      </c>
      <c r="H310" s="2">
        <v>21</v>
      </c>
      <c r="I310" s="4">
        <v>1584.24</v>
      </c>
      <c r="J310" s="2">
        <v>0</v>
      </c>
      <c r="K310" s="2">
        <v>18</v>
      </c>
      <c r="L310" s="2" t="s">
        <v>49</v>
      </c>
      <c r="M310" s="4">
        <f t="shared" si="16"/>
        <v>33269.040000000001</v>
      </c>
      <c r="N310" s="4">
        <f t="shared" si="17"/>
        <v>0</v>
      </c>
      <c r="O310" s="4">
        <f t="shared" si="18"/>
        <v>5988.4272000000001</v>
      </c>
      <c r="P310" s="4">
        <f t="shared" si="19"/>
        <v>39257.467199999999</v>
      </c>
    </row>
    <row r="311" spans="1:16" x14ac:dyDescent="0.25">
      <c r="A311" s="5" t="s">
        <v>374</v>
      </c>
      <c r="B311" s="6">
        <v>45492</v>
      </c>
      <c r="C311" s="5" t="s">
        <v>17</v>
      </c>
      <c r="D311" s="5" t="s">
        <v>25</v>
      </c>
      <c r="E311" s="5" t="s">
        <v>19</v>
      </c>
      <c r="F311" s="5" t="s">
        <v>57</v>
      </c>
      <c r="G311" s="5" t="s">
        <v>55</v>
      </c>
      <c r="H311" s="5">
        <v>34</v>
      </c>
      <c r="I311" s="7">
        <v>1217.78</v>
      </c>
      <c r="J311" s="5">
        <v>0</v>
      </c>
      <c r="K311" s="5">
        <v>18</v>
      </c>
      <c r="L311" s="5" t="s">
        <v>22</v>
      </c>
      <c r="M311" s="7">
        <f t="shared" si="16"/>
        <v>41404.519999999997</v>
      </c>
      <c r="N311" s="7">
        <f t="shared" si="17"/>
        <v>0</v>
      </c>
      <c r="O311" s="7">
        <f t="shared" si="18"/>
        <v>7452.8135999999995</v>
      </c>
      <c r="P311" s="7">
        <f t="shared" si="19"/>
        <v>48857.333599999998</v>
      </c>
    </row>
    <row r="312" spans="1:16" x14ac:dyDescent="0.25">
      <c r="A312" s="2" t="s">
        <v>375</v>
      </c>
      <c r="B312" s="3">
        <v>45328</v>
      </c>
      <c r="C312" s="2" t="s">
        <v>47</v>
      </c>
      <c r="D312" s="2" t="s">
        <v>52</v>
      </c>
      <c r="E312" s="2" t="s">
        <v>38</v>
      </c>
      <c r="F312" s="2" t="s">
        <v>48</v>
      </c>
      <c r="G312" s="2" t="s">
        <v>31</v>
      </c>
      <c r="H312" s="2">
        <v>16</v>
      </c>
      <c r="I312" s="4">
        <v>1004.17</v>
      </c>
      <c r="J312" s="2">
        <v>15</v>
      </c>
      <c r="K312" s="2">
        <v>18</v>
      </c>
      <c r="L312" s="2" t="s">
        <v>22</v>
      </c>
      <c r="M312" s="4">
        <f t="shared" si="16"/>
        <v>16066.72</v>
      </c>
      <c r="N312" s="4">
        <f t="shared" si="17"/>
        <v>2410.0079999999998</v>
      </c>
      <c r="O312" s="4">
        <f t="shared" si="18"/>
        <v>2458.2081600000001</v>
      </c>
      <c r="P312" s="4">
        <f t="shared" si="19"/>
        <v>16114.92016</v>
      </c>
    </row>
    <row r="313" spans="1:16" x14ac:dyDescent="0.25">
      <c r="A313" s="5" t="s">
        <v>376</v>
      </c>
      <c r="B313" s="6">
        <v>45641</v>
      </c>
      <c r="C313" s="5" t="s">
        <v>17</v>
      </c>
      <c r="D313" s="5" t="s">
        <v>64</v>
      </c>
      <c r="E313" s="5" t="s">
        <v>29</v>
      </c>
      <c r="F313" s="5" t="s">
        <v>80</v>
      </c>
      <c r="G313" s="5" t="s">
        <v>21</v>
      </c>
      <c r="H313" s="5">
        <v>37</v>
      </c>
      <c r="I313" s="7">
        <v>847.52</v>
      </c>
      <c r="J313" s="5">
        <v>15</v>
      </c>
      <c r="K313" s="5">
        <v>18</v>
      </c>
      <c r="L313" s="5" t="s">
        <v>49</v>
      </c>
      <c r="M313" s="7">
        <f t="shared" si="16"/>
        <v>31358.239999999998</v>
      </c>
      <c r="N313" s="7">
        <f t="shared" si="17"/>
        <v>4703.7359999999999</v>
      </c>
      <c r="O313" s="7">
        <f t="shared" si="18"/>
        <v>4797.8107199999995</v>
      </c>
      <c r="P313" s="7">
        <f t="shared" si="19"/>
        <v>31452.314719999995</v>
      </c>
    </row>
    <row r="314" spans="1:16" x14ac:dyDescent="0.25">
      <c r="A314" s="2" t="s">
        <v>377</v>
      </c>
      <c r="B314" s="3">
        <v>45495</v>
      </c>
      <c r="C314" s="2" t="s">
        <v>59</v>
      </c>
      <c r="D314" s="2" t="s">
        <v>25</v>
      </c>
      <c r="E314" s="2" t="s">
        <v>44</v>
      </c>
      <c r="F314" s="2" t="s">
        <v>91</v>
      </c>
      <c r="G314" s="2" t="s">
        <v>27</v>
      </c>
      <c r="H314" s="2">
        <v>17</v>
      </c>
      <c r="I314" s="4">
        <v>439.33</v>
      </c>
      <c r="J314" s="2">
        <v>0</v>
      </c>
      <c r="K314" s="2">
        <v>18</v>
      </c>
      <c r="L314" s="2" t="s">
        <v>22</v>
      </c>
      <c r="M314" s="4">
        <f t="shared" si="16"/>
        <v>7468.61</v>
      </c>
      <c r="N314" s="4">
        <f t="shared" si="17"/>
        <v>0</v>
      </c>
      <c r="O314" s="4">
        <f t="shared" si="18"/>
        <v>1344.3497999999997</v>
      </c>
      <c r="P314" s="4">
        <f t="shared" si="19"/>
        <v>8812.9597999999987</v>
      </c>
    </row>
    <row r="315" spans="1:16" x14ac:dyDescent="0.25">
      <c r="A315" s="5" t="s">
        <v>378</v>
      </c>
      <c r="B315" s="6">
        <v>45370</v>
      </c>
      <c r="C315" s="5" t="s">
        <v>24</v>
      </c>
      <c r="D315" s="5" t="s">
        <v>54</v>
      </c>
      <c r="E315" s="5" t="s">
        <v>29</v>
      </c>
      <c r="F315" s="5" t="s">
        <v>41</v>
      </c>
      <c r="G315" s="5" t="s">
        <v>31</v>
      </c>
      <c r="H315" s="5">
        <v>41</v>
      </c>
      <c r="I315" s="7">
        <v>1077.76</v>
      </c>
      <c r="J315" s="5">
        <v>15</v>
      </c>
      <c r="K315" s="5">
        <v>18</v>
      </c>
      <c r="L315" s="5" t="s">
        <v>22</v>
      </c>
      <c r="M315" s="7">
        <f t="shared" si="16"/>
        <v>44188.159999999996</v>
      </c>
      <c r="N315" s="7">
        <f t="shared" si="17"/>
        <v>6628.2239999999993</v>
      </c>
      <c r="O315" s="7">
        <f t="shared" si="18"/>
        <v>6760.7884799999993</v>
      </c>
      <c r="P315" s="7">
        <f t="shared" si="19"/>
        <v>44320.72447999999</v>
      </c>
    </row>
    <row r="316" spans="1:16" x14ac:dyDescent="0.25">
      <c r="A316" s="2" t="s">
        <v>379</v>
      </c>
      <c r="B316" s="3">
        <v>45616</v>
      </c>
      <c r="C316" s="2" t="s">
        <v>17</v>
      </c>
      <c r="D316" s="2" t="s">
        <v>60</v>
      </c>
      <c r="E316" s="2" t="s">
        <v>38</v>
      </c>
      <c r="F316" s="2" t="s">
        <v>48</v>
      </c>
      <c r="G316" s="2" t="s">
        <v>21</v>
      </c>
      <c r="H316" s="2">
        <v>35</v>
      </c>
      <c r="I316" s="4">
        <v>660.23</v>
      </c>
      <c r="J316" s="2">
        <v>15</v>
      </c>
      <c r="K316" s="2">
        <v>18</v>
      </c>
      <c r="L316" s="2" t="s">
        <v>22</v>
      </c>
      <c r="M316" s="4">
        <f t="shared" si="16"/>
        <v>23108.05</v>
      </c>
      <c r="N316" s="4">
        <f t="shared" si="17"/>
        <v>3466.2075</v>
      </c>
      <c r="O316" s="4">
        <f t="shared" si="18"/>
        <v>3535.5316499999999</v>
      </c>
      <c r="P316" s="4">
        <f t="shared" si="19"/>
        <v>23177.37415</v>
      </c>
    </row>
    <row r="317" spans="1:16" x14ac:dyDescent="0.25">
      <c r="A317" s="5" t="s">
        <v>380</v>
      </c>
      <c r="B317" s="6">
        <v>45524</v>
      </c>
      <c r="C317" s="5" t="s">
        <v>24</v>
      </c>
      <c r="D317" s="5" t="s">
        <v>18</v>
      </c>
      <c r="E317" s="5" t="s">
        <v>19</v>
      </c>
      <c r="F317" s="5" t="s">
        <v>62</v>
      </c>
      <c r="G317" s="5" t="s">
        <v>27</v>
      </c>
      <c r="H317" s="5">
        <v>6</v>
      </c>
      <c r="I317" s="7">
        <v>1850.01</v>
      </c>
      <c r="J317" s="5">
        <v>0</v>
      </c>
      <c r="K317" s="5">
        <v>18</v>
      </c>
      <c r="L317" s="5" t="s">
        <v>22</v>
      </c>
      <c r="M317" s="7">
        <f t="shared" si="16"/>
        <v>11100.06</v>
      </c>
      <c r="N317" s="7">
        <f t="shared" si="17"/>
        <v>0</v>
      </c>
      <c r="O317" s="7">
        <f t="shared" si="18"/>
        <v>1998.0107999999998</v>
      </c>
      <c r="P317" s="7">
        <f t="shared" si="19"/>
        <v>13098.0708</v>
      </c>
    </row>
    <row r="318" spans="1:16" x14ac:dyDescent="0.25">
      <c r="A318" s="2" t="s">
        <v>381</v>
      </c>
      <c r="B318" s="3">
        <v>45297</v>
      </c>
      <c r="C318" s="2" t="s">
        <v>59</v>
      </c>
      <c r="D318" s="2" t="s">
        <v>43</v>
      </c>
      <c r="E318" s="2" t="s">
        <v>29</v>
      </c>
      <c r="F318" s="2" t="s">
        <v>65</v>
      </c>
      <c r="G318" s="2" t="s">
        <v>21</v>
      </c>
      <c r="H318" s="2">
        <v>1</v>
      </c>
      <c r="I318" s="4">
        <v>1418.72</v>
      </c>
      <c r="J318" s="2">
        <v>20</v>
      </c>
      <c r="K318" s="2">
        <v>18</v>
      </c>
      <c r="L318" s="2" t="s">
        <v>22</v>
      </c>
      <c r="M318" s="4">
        <f t="shared" si="16"/>
        <v>1418.72</v>
      </c>
      <c r="N318" s="4">
        <f t="shared" si="17"/>
        <v>283.74400000000003</v>
      </c>
      <c r="O318" s="4">
        <f t="shared" si="18"/>
        <v>204.29568000000003</v>
      </c>
      <c r="P318" s="4">
        <f t="shared" si="19"/>
        <v>1339.2716800000001</v>
      </c>
    </row>
    <row r="319" spans="1:16" x14ac:dyDescent="0.25">
      <c r="A319" s="5" t="s">
        <v>382</v>
      </c>
      <c r="B319" s="6">
        <v>45352</v>
      </c>
      <c r="C319" s="5" t="s">
        <v>17</v>
      </c>
      <c r="D319" s="5" t="s">
        <v>43</v>
      </c>
      <c r="E319" s="5" t="s">
        <v>44</v>
      </c>
      <c r="F319" s="5" t="s">
        <v>91</v>
      </c>
      <c r="G319" s="5" t="s">
        <v>21</v>
      </c>
      <c r="H319" s="5">
        <v>9</v>
      </c>
      <c r="I319" s="7">
        <v>1502.06</v>
      </c>
      <c r="J319" s="5">
        <v>5</v>
      </c>
      <c r="K319" s="5">
        <v>18</v>
      </c>
      <c r="L319" s="5" t="s">
        <v>22</v>
      </c>
      <c r="M319" s="7">
        <f t="shared" si="16"/>
        <v>13518.539999999999</v>
      </c>
      <c r="N319" s="7">
        <f t="shared" si="17"/>
        <v>675.92700000000002</v>
      </c>
      <c r="O319" s="7">
        <f t="shared" si="18"/>
        <v>2311.6703399999997</v>
      </c>
      <c r="P319" s="7">
        <f t="shared" si="19"/>
        <v>15154.283339999998</v>
      </c>
    </row>
    <row r="320" spans="1:16" x14ac:dyDescent="0.25">
      <c r="A320" s="2" t="s">
        <v>383</v>
      </c>
      <c r="B320" s="3">
        <v>45331</v>
      </c>
      <c r="C320" s="2" t="s">
        <v>24</v>
      </c>
      <c r="D320" s="2" t="s">
        <v>43</v>
      </c>
      <c r="E320" s="2" t="s">
        <v>19</v>
      </c>
      <c r="F320" s="2" t="s">
        <v>62</v>
      </c>
      <c r="G320" s="2" t="s">
        <v>27</v>
      </c>
      <c r="H320" s="2">
        <v>46</v>
      </c>
      <c r="I320" s="4">
        <v>1950.35</v>
      </c>
      <c r="J320" s="2">
        <v>20</v>
      </c>
      <c r="K320" s="2">
        <v>18</v>
      </c>
      <c r="L320" s="2" t="s">
        <v>22</v>
      </c>
      <c r="M320" s="4">
        <f t="shared" si="16"/>
        <v>89716.099999999991</v>
      </c>
      <c r="N320" s="4">
        <f t="shared" si="17"/>
        <v>17943.219999999998</v>
      </c>
      <c r="O320" s="4">
        <f t="shared" si="18"/>
        <v>12919.118399999999</v>
      </c>
      <c r="P320" s="4">
        <f t="shared" si="19"/>
        <v>84691.998399999982</v>
      </c>
    </row>
    <row r="321" spans="1:16" x14ac:dyDescent="0.25">
      <c r="A321" s="5" t="s">
        <v>384</v>
      </c>
      <c r="B321" s="6">
        <v>45344</v>
      </c>
      <c r="C321" s="5" t="s">
        <v>17</v>
      </c>
      <c r="D321" s="5" t="s">
        <v>25</v>
      </c>
      <c r="E321" s="5" t="s">
        <v>35</v>
      </c>
      <c r="F321" s="5" t="s">
        <v>76</v>
      </c>
      <c r="G321" s="5" t="s">
        <v>31</v>
      </c>
      <c r="H321" s="5">
        <v>11</v>
      </c>
      <c r="I321" s="7">
        <v>741.7</v>
      </c>
      <c r="J321" s="5">
        <v>5</v>
      </c>
      <c r="K321" s="5">
        <v>18</v>
      </c>
      <c r="L321" s="5" t="s">
        <v>32</v>
      </c>
      <c r="M321" s="7">
        <f t="shared" si="16"/>
        <v>8158.7000000000007</v>
      </c>
      <c r="N321" s="7">
        <f t="shared" si="17"/>
        <v>407.935</v>
      </c>
      <c r="O321" s="7">
        <f t="shared" si="18"/>
        <v>1395.1377000000002</v>
      </c>
      <c r="P321" s="7">
        <f t="shared" si="19"/>
        <v>9145.9027000000006</v>
      </c>
    </row>
    <row r="322" spans="1:16" x14ac:dyDescent="0.25">
      <c r="A322" s="2" t="s">
        <v>385</v>
      </c>
      <c r="B322" s="3">
        <v>45488</v>
      </c>
      <c r="C322" s="2" t="s">
        <v>47</v>
      </c>
      <c r="D322" s="2" t="s">
        <v>25</v>
      </c>
      <c r="E322" s="2" t="s">
        <v>29</v>
      </c>
      <c r="F322" s="2" t="s">
        <v>80</v>
      </c>
      <c r="G322" s="2" t="s">
        <v>27</v>
      </c>
      <c r="H322" s="2">
        <v>16</v>
      </c>
      <c r="I322" s="4">
        <v>101.5</v>
      </c>
      <c r="J322" s="2">
        <v>5</v>
      </c>
      <c r="K322" s="2">
        <v>18</v>
      </c>
      <c r="L322" s="2" t="s">
        <v>22</v>
      </c>
      <c r="M322" s="4">
        <f t="shared" ref="M322:M385" si="20">H322*I322</f>
        <v>1624</v>
      </c>
      <c r="N322" s="4">
        <f t="shared" ref="N322:N385" si="21">M322*J322/100</f>
        <v>81.2</v>
      </c>
      <c r="O322" s="4">
        <f t="shared" ref="O322:O385" si="22">(M322-N322)*K322/100</f>
        <v>277.70399999999995</v>
      </c>
      <c r="P322" s="4">
        <f t="shared" ref="P322:P385" si="23">M322-N322+O322</f>
        <v>1820.5039999999999</v>
      </c>
    </row>
    <row r="323" spans="1:16" x14ac:dyDescent="0.25">
      <c r="A323" s="5" t="s">
        <v>386</v>
      </c>
      <c r="B323" s="6">
        <v>45455</v>
      </c>
      <c r="C323" s="5" t="s">
        <v>59</v>
      </c>
      <c r="D323" s="5" t="s">
        <v>54</v>
      </c>
      <c r="E323" s="5" t="s">
        <v>44</v>
      </c>
      <c r="F323" s="5" t="s">
        <v>78</v>
      </c>
      <c r="G323" s="5" t="s">
        <v>21</v>
      </c>
      <c r="H323" s="5">
        <v>16</v>
      </c>
      <c r="I323" s="7">
        <v>838.35</v>
      </c>
      <c r="J323" s="5">
        <v>20</v>
      </c>
      <c r="K323" s="5">
        <v>18</v>
      </c>
      <c r="L323" s="5" t="s">
        <v>22</v>
      </c>
      <c r="M323" s="7">
        <f t="shared" si="20"/>
        <v>13413.6</v>
      </c>
      <c r="N323" s="7">
        <f t="shared" si="21"/>
        <v>2682.72</v>
      </c>
      <c r="O323" s="7">
        <f t="shared" si="22"/>
        <v>1931.5584000000003</v>
      </c>
      <c r="P323" s="7">
        <f t="shared" si="23"/>
        <v>12662.438400000001</v>
      </c>
    </row>
    <row r="324" spans="1:16" x14ac:dyDescent="0.25">
      <c r="A324" s="2" t="s">
        <v>387</v>
      </c>
      <c r="B324" s="3">
        <v>45497</v>
      </c>
      <c r="C324" s="2" t="s">
        <v>17</v>
      </c>
      <c r="D324" s="2" t="s">
        <v>60</v>
      </c>
      <c r="E324" s="2" t="s">
        <v>38</v>
      </c>
      <c r="F324" s="2" t="s">
        <v>48</v>
      </c>
      <c r="G324" s="2" t="s">
        <v>27</v>
      </c>
      <c r="H324" s="2">
        <v>15</v>
      </c>
      <c r="I324" s="4">
        <v>1610.63</v>
      </c>
      <c r="J324" s="2">
        <v>0</v>
      </c>
      <c r="K324" s="2">
        <v>18</v>
      </c>
      <c r="L324" s="2" t="s">
        <v>22</v>
      </c>
      <c r="M324" s="4">
        <f t="shared" si="20"/>
        <v>24159.45</v>
      </c>
      <c r="N324" s="4">
        <f t="shared" si="21"/>
        <v>0</v>
      </c>
      <c r="O324" s="4">
        <f t="shared" si="22"/>
        <v>4348.701</v>
      </c>
      <c r="P324" s="4">
        <f t="shared" si="23"/>
        <v>28508.151000000002</v>
      </c>
    </row>
    <row r="325" spans="1:16" x14ac:dyDescent="0.25">
      <c r="A325" s="5" t="s">
        <v>388</v>
      </c>
      <c r="B325" s="6">
        <v>45394</v>
      </c>
      <c r="C325" s="5" t="s">
        <v>17</v>
      </c>
      <c r="D325" s="5" t="s">
        <v>43</v>
      </c>
      <c r="E325" s="5" t="s">
        <v>19</v>
      </c>
      <c r="F325" s="5" t="s">
        <v>157</v>
      </c>
      <c r="G325" s="5" t="s">
        <v>55</v>
      </c>
      <c r="H325" s="5">
        <v>36</v>
      </c>
      <c r="I325" s="7">
        <v>918.92</v>
      </c>
      <c r="J325" s="5">
        <v>5</v>
      </c>
      <c r="K325" s="5">
        <v>18</v>
      </c>
      <c r="L325" s="5" t="s">
        <v>22</v>
      </c>
      <c r="M325" s="7">
        <f t="shared" si="20"/>
        <v>33081.119999999995</v>
      </c>
      <c r="N325" s="7">
        <f t="shared" si="21"/>
        <v>1654.0559999999998</v>
      </c>
      <c r="O325" s="7">
        <f t="shared" si="22"/>
        <v>5656.8715199999988</v>
      </c>
      <c r="P325" s="7">
        <f t="shared" si="23"/>
        <v>37083.935519999992</v>
      </c>
    </row>
    <row r="326" spans="1:16" x14ac:dyDescent="0.25">
      <c r="A326" s="2" t="s">
        <v>389</v>
      </c>
      <c r="B326" s="3">
        <v>45571</v>
      </c>
      <c r="C326" s="2" t="s">
        <v>17</v>
      </c>
      <c r="D326" s="2" t="s">
        <v>18</v>
      </c>
      <c r="E326" s="2" t="s">
        <v>38</v>
      </c>
      <c r="F326" s="2" t="s">
        <v>39</v>
      </c>
      <c r="G326" s="2" t="s">
        <v>31</v>
      </c>
      <c r="H326" s="2">
        <v>38</v>
      </c>
      <c r="I326" s="4">
        <v>1944</v>
      </c>
      <c r="J326" s="2">
        <v>0</v>
      </c>
      <c r="K326" s="2">
        <v>18</v>
      </c>
      <c r="L326" s="2" t="s">
        <v>22</v>
      </c>
      <c r="M326" s="4">
        <f t="shared" si="20"/>
        <v>73872</v>
      </c>
      <c r="N326" s="4">
        <f t="shared" si="21"/>
        <v>0</v>
      </c>
      <c r="O326" s="4">
        <f t="shared" si="22"/>
        <v>13296.96</v>
      </c>
      <c r="P326" s="4">
        <f t="shared" si="23"/>
        <v>87168.959999999992</v>
      </c>
    </row>
    <row r="327" spans="1:16" x14ac:dyDescent="0.25">
      <c r="A327" s="5" t="s">
        <v>390</v>
      </c>
      <c r="B327" s="6">
        <v>45296</v>
      </c>
      <c r="C327" s="5" t="s">
        <v>59</v>
      </c>
      <c r="D327" s="5" t="s">
        <v>54</v>
      </c>
      <c r="E327" s="5" t="s">
        <v>44</v>
      </c>
      <c r="F327" s="5" t="s">
        <v>78</v>
      </c>
      <c r="G327" s="5" t="s">
        <v>27</v>
      </c>
      <c r="H327" s="5">
        <v>35</v>
      </c>
      <c r="I327" s="7">
        <v>699.38</v>
      </c>
      <c r="J327" s="5">
        <v>20</v>
      </c>
      <c r="K327" s="5">
        <v>18</v>
      </c>
      <c r="L327" s="5" t="s">
        <v>22</v>
      </c>
      <c r="M327" s="7">
        <f t="shared" si="20"/>
        <v>24478.3</v>
      </c>
      <c r="N327" s="7">
        <f t="shared" si="21"/>
        <v>4895.66</v>
      </c>
      <c r="O327" s="7">
        <f t="shared" si="22"/>
        <v>3524.8752000000004</v>
      </c>
      <c r="P327" s="7">
        <f t="shared" si="23"/>
        <v>23107.515200000002</v>
      </c>
    </row>
    <row r="328" spans="1:16" x14ac:dyDescent="0.25">
      <c r="A328" s="2" t="s">
        <v>391</v>
      </c>
      <c r="B328" s="3">
        <v>45543</v>
      </c>
      <c r="C328" s="2" t="s">
        <v>24</v>
      </c>
      <c r="D328" s="2" t="s">
        <v>43</v>
      </c>
      <c r="E328" s="2" t="s">
        <v>38</v>
      </c>
      <c r="F328" s="2" t="s">
        <v>48</v>
      </c>
      <c r="G328" s="2" t="s">
        <v>27</v>
      </c>
      <c r="H328" s="2">
        <v>34</v>
      </c>
      <c r="I328" s="4">
        <v>1966.4</v>
      </c>
      <c r="J328" s="2">
        <v>10</v>
      </c>
      <c r="K328" s="2">
        <v>18</v>
      </c>
      <c r="L328" s="2" t="s">
        <v>22</v>
      </c>
      <c r="M328" s="4">
        <f t="shared" si="20"/>
        <v>66857.600000000006</v>
      </c>
      <c r="N328" s="4">
        <f t="shared" si="21"/>
        <v>6685.76</v>
      </c>
      <c r="O328" s="4">
        <f t="shared" si="22"/>
        <v>10830.931200000001</v>
      </c>
      <c r="P328" s="4">
        <f t="shared" si="23"/>
        <v>71002.771200000003</v>
      </c>
    </row>
    <row r="329" spans="1:16" x14ac:dyDescent="0.25">
      <c r="A329" s="5" t="s">
        <v>392</v>
      </c>
      <c r="B329" s="6">
        <v>45526</v>
      </c>
      <c r="C329" s="5" t="s">
        <v>17</v>
      </c>
      <c r="D329" s="5" t="s">
        <v>60</v>
      </c>
      <c r="E329" s="5" t="s">
        <v>19</v>
      </c>
      <c r="F329" s="5" t="s">
        <v>57</v>
      </c>
      <c r="G329" s="5" t="s">
        <v>27</v>
      </c>
      <c r="H329" s="5">
        <v>34</v>
      </c>
      <c r="I329" s="7">
        <v>831.98</v>
      </c>
      <c r="J329" s="5">
        <v>5</v>
      </c>
      <c r="K329" s="5">
        <v>18</v>
      </c>
      <c r="L329" s="5" t="s">
        <v>22</v>
      </c>
      <c r="M329" s="7">
        <f t="shared" si="20"/>
        <v>28287.32</v>
      </c>
      <c r="N329" s="7">
        <f t="shared" si="21"/>
        <v>1414.366</v>
      </c>
      <c r="O329" s="7">
        <f t="shared" si="22"/>
        <v>4837.1317199999994</v>
      </c>
      <c r="P329" s="7">
        <f t="shared" si="23"/>
        <v>31710.085719999995</v>
      </c>
    </row>
    <row r="330" spans="1:16" x14ac:dyDescent="0.25">
      <c r="A330" s="2" t="s">
        <v>393</v>
      </c>
      <c r="B330" s="3">
        <v>45631</v>
      </c>
      <c r="C330" s="2" t="s">
        <v>59</v>
      </c>
      <c r="D330" s="2" t="s">
        <v>34</v>
      </c>
      <c r="E330" s="2" t="s">
        <v>19</v>
      </c>
      <c r="F330" s="2" t="s">
        <v>26</v>
      </c>
      <c r="G330" s="2" t="s">
        <v>31</v>
      </c>
      <c r="H330" s="2">
        <v>38</v>
      </c>
      <c r="I330" s="4">
        <v>1139.96</v>
      </c>
      <c r="J330" s="2">
        <v>10</v>
      </c>
      <c r="K330" s="2">
        <v>18</v>
      </c>
      <c r="L330" s="2" t="s">
        <v>22</v>
      </c>
      <c r="M330" s="4">
        <f t="shared" si="20"/>
        <v>43318.48</v>
      </c>
      <c r="N330" s="4">
        <f t="shared" si="21"/>
        <v>4331.8480000000009</v>
      </c>
      <c r="O330" s="4">
        <f t="shared" si="22"/>
        <v>7017.5937600000007</v>
      </c>
      <c r="P330" s="4">
        <f t="shared" si="23"/>
        <v>46004.225760000008</v>
      </c>
    </row>
    <row r="331" spans="1:16" x14ac:dyDescent="0.25">
      <c r="A331" s="5" t="s">
        <v>394</v>
      </c>
      <c r="B331" s="6">
        <v>45454</v>
      </c>
      <c r="C331" s="5" t="s">
        <v>17</v>
      </c>
      <c r="D331" s="5" t="s">
        <v>43</v>
      </c>
      <c r="E331" s="5" t="s">
        <v>44</v>
      </c>
      <c r="F331" s="5" t="s">
        <v>78</v>
      </c>
      <c r="G331" s="5" t="s">
        <v>55</v>
      </c>
      <c r="H331" s="5">
        <v>45</v>
      </c>
      <c r="I331" s="7">
        <v>1665.48</v>
      </c>
      <c r="J331" s="5">
        <v>5</v>
      </c>
      <c r="K331" s="5">
        <v>18</v>
      </c>
      <c r="L331" s="5" t="s">
        <v>49</v>
      </c>
      <c r="M331" s="7">
        <f t="shared" si="20"/>
        <v>74946.600000000006</v>
      </c>
      <c r="N331" s="7">
        <f t="shared" si="21"/>
        <v>3747.33</v>
      </c>
      <c r="O331" s="7">
        <f t="shared" si="22"/>
        <v>12815.868600000002</v>
      </c>
      <c r="P331" s="7">
        <f t="shared" si="23"/>
        <v>84015.138600000006</v>
      </c>
    </row>
    <row r="332" spans="1:16" x14ac:dyDescent="0.25">
      <c r="A332" s="2" t="s">
        <v>395</v>
      </c>
      <c r="B332" s="3">
        <v>45371</v>
      </c>
      <c r="C332" s="2" t="s">
        <v>47</v>
      </c>
      <c r="D332" s="2" t="s">
        <v>60</v>
      </c>
      <c r="E332" s="2" t="s">
        <v>35</v>
      </c>
      <c r="F332" s="2" t="s">
        <v>36</v>
      </c>
      <c r="G332" s="2" t="s">
        <v>21</v>
      </c>
      <c r="H332" s="2">
        <v>50</v>
      </c>
      <c r="I332" s="4">
        <v>1542.59</v>
      </c>
      <c r="J332" s="2">
        <v>0</v>
      </c>
      <c r="K332" s="2">
        <v>18</v>
      </c>
      <c r="L332" s="2" t="s">
        <v>22</v>
      </c>
      <c r="M332" s="4">
        <f t="shared" si="20"/>
        <v>77129.5</v>
      </c>
      <c r="N332" s="4">
        <f t="shared" si="21"/>
        <v>0</v>
      </c>
      <c r="O332" s="4">
        <f t="shared" si="22"/>
        <v>13883.31</v>
      </c>
      <c r="P332" s="4">
        <f t="shared" si="23"/>
        <v>91012.81</v>
      </c>
    </row>
    <row r="333" spans="1:16" x14ac:dyDescent="0.25">
      <c r="A333" s="5" t="s">
        <v>396</v>
      </c>
      <c r="B333" s="6">
        <v>45523</v>
      </c>
      <c r="C333" s="5" t="s">
        <v>24</v>
      </c>
      <c r="D333" s="5" t="s">
        <v>52</v>
      </c>
      <c r="E333" s="5" t="s">
        <v>19</v>
      </c>
      <c r="F333" s="5" t="s">
        <v>57</v>
      </c>
      <c r="G333" s="5" t="s">
        <v>55</v>
      </c>
      <c r="H333" s="5">
        <v>8</v>
      </c>
      <c r="I333" s="7">
        <v>1076.49</v>
      </c>
      <c r="J333" s="5">
        <v>0</v>
      </c>
      <c r="K333" s="5">
        <v>18</v>
      </c>
      <c r="L333" s="5" t="s">
        <v>49</v>
      </c>
      <c r="M333" s="7">
        <f t="shared" si="20"/>
        <v>8611.92</v>
      </c>
      <c r="N333" s="7">
        <f t="shared" si="21"/>
        <v>0</v>
      </c>
      <c r="O333" s="7">
        <f t="shared" si="22"/>
        <v>1550.1456000000001</v>
      </c>
      <c r="P333" s="7">
        <f t="shared" si="23"/>
        <v>10162.0656</v>
      </c>
    </row>
    <row r="334" spans="1:16" x14ac:dyDescent="0.25">
      <c r="A334" s="2" t="s">
        <v>397</v>
      </c>
      <c r="B334" s="3">
        <v>45648</v>
      </c>
      <c r="C334" s="2" t="s">
        <v>17</v>
      </c>
      <c r="D334" s="2" t="s">
        <v>60</v>
      </c>
      <c r="E334" s="2" t="s">
        <v>38</v>
      </c>
      <c r="F334" s="2" t="s">
        <v>70</v>
      </c>
      <c r="G334" s="2" t="s">
        <v>27</v>
      </c>
      <c r="H334" s="2">
        <v>44</v>
      </c>
      <c r="I334" s="4">
        <v>615.39</v>
      </c>
      <c r="J334" s="2">
        <v>20</v>
      </c>
      <c r="K334" s="2">
        <v>18</v>
      </c>
      <c r="L334" s="2" t="s">
        <v>22</v>
      </c>
      <c r="M334" s="4">
        <f t="shared" si="20"/>
        <v>27077.16</v>
      </c>
      <c r="N334" s="4">
        <f t="shared" si="21"/>
        <v>5415.4319999999998</v>
      </c>
      <c r="O334" s="4">
        <f t="shared" si="22"/>
        <v>3899.1110399999998</v>
      </c>
      <c r="P334" s="4">
        <f t="shared" si="23"/>
        <v>25560.839039999999</v>
      </c>
    </row>
    <row r="335" spans="1:16" x14ac:dyDescent="0.25">
      <c r="A335" s="5" t="s">
        <v>398</v>
      </c>
      <c r="B335" s="6">
        <v>45494</v>
      </c>
      <c r="C335" s="5" t="s">
        <v>47</v>
      </c>
      <c r="D335" s="5" t="s">
        <v>64</v>
      </c>
      <c r="E335" s="5" t="s">
        <v>29</v>
      </c>
      <c r="F335" s="5" t="s">
        <v>80</v>
      </c>
      <c r="G335" s="5" t="s">
        <v>21</v>
      </c>
      <c r="H335" s="5">
        <v>46</v>
      </c>
      <c r="I335" s="7">
        <v>503.96</v>
      </c>
      <c r="J335" s="5">
        <v>5</v>
      </c>
      <c r="K335" s="5">
        <v>18</v>
      </c>
      <c r="L335" s="5" t="s">
        <v>22</v>
      </c>
      <c r="M335" s="7">
        <f t="shared" si="20"/>
        <v>23182.16</v>
      </c>
      <c r="N335" s="7">
        <f t="shared" si="21"/>
        <v>1159.1079999999999</v>
      </c>
      <c r="O335" s="7">
        <f t="shared" si="22"/>
        <v>3964.1493599999999</v>
      </c>
      <c r="P335" s="7">
        <f t="shared" si="23"/>
        <v>25987.201359999999</v>
      </c>
    </row>
    <row r="336" spans="1:16" x14ac:dyDescent="0.25">
      <c r="A336" s="2" t="s">
        <v>399</v>
      </c>
      <c r="B336" s="3">
        <v>45573</v>
      </c>
      <c r="C336" s="2" t="s">
        <v>17</v>
      </c>
      <c r="D336" s="2" t="s">
        <v>43</v>
      </c>
      <c r="E336" s="2" t="s">
        <v>29</v>
      </c>
      <c r="F336" s="2" t="s">
        <v>80</v>
      </c>
      <c r="G336" s="2" t="s">
        <v>21</v>
      </c>
      <c r="H336" s="2">
        <v>26</v>
      </c>
      <c r="I336" s="4">
        <v>1710.66</v>
      </c>
      <c r="J336" s="2">
        <v>15</v>
      </c>
      <c r="K336" s="2">
        <v>18</v>
      </c>
      <c r="L336" s="2" t="s">
        <v>22</v>
      </c>
      <c r="M336" s="4">
        <f t="shared" si="20"/>
        <v>44477.16</v>
      </c>
      <c r="N336" s="4">
        <f t="shared" si="21"/>
        <v>6671.5740000000005</v>
      </c>
      <c r="O336" s="4">
        <f t="shared" si="22"/>
        <v>6805.0054800000007</v>
      </c>
      <c r="P336" s="4">
        <f t="shared" si="23"/>
        <v>44610.591480000003</v>
      </c>
    </row>
    <row r="337" spans="1:16" x14ac:dyDescent="0.25">
      <c r="A337" s="5" t="s">
        <v>400</v>
      </c>
      <c r="B337" s="6">
        <v>45358</v>
      </c>
      <c r="C337" s="5" t="s">
        <v>24</v>
      </c>
      <c r="D337" s="5" t="s">
        <v>60</v>
      </c>
      <c r="E337" s="5" t="s">
        <v>44</v>
      </c>
      <c r="F337" s="5" t="s">
        <v>45</v>
      </c>
      <c r="G337" s="5" t="s">
        <v>21</v>
      </c>
      <c r="H337" s="5">
        <v>1</v>
      </c>
      <c r="I337" s="7">
        <v>132.72</v>
      </c>
      <c r="J337" s="5">
        <v>0</v>
      </c>
      <c r="K337" s="5">
        <v>18</v>
      </c>
      <c r="L337" s="5" t="s">
        <v>22</v>
      </c>
      <c r="M337" s="7">
        <f t="shared" si="20"/>
        <v>132.72</v>
      </c>
      <c r="N337" s="7">
        <f t="shared" si="21"/>
        <v>0</v>
      </c>
      <c r="O337" s="7">
        <f t="shared" si="22"/>
        <v>23.889600000000002</v>
      </c>
      <c r="P337" s="7">
        <f t="shared" si="23"/>
        <v>156.6096</v>
      </c>
    </row>
    <row r="338" spans="1:16" x14ac:dyDescent="0.25">
      <c r="A338" s="2" t="s">
        <v>401</v>
      </c>
      <c r="B338" s="3">
        <v>45622</v>
      </c>
      <c r="C338" s="2" t="s">
        <v>17</v>
      </c>
      <c r="D338" s="2" t="s">
        <v>60</v>
      </c>
      <c r="E338" s="2" t="s">
        <v>44</v>
      </c>
      <c r="F338" s="2" t="s">
        <v>91</v>
      </c>
      <c r="G338" s="2" t="s">
        <v>55</v>
      </c>
      <c r="H338" s="2">
        <v>2</v>
      </c>
      <c r="I338" s="4">
        <v>1994.35</v>
      </c>
      <c r="J338" s="2">
        <v>0</v>
      </c>
      <c r="K338" s="2">
        <v>18</v>
      </c>
      <c r="L338" s="2" t="s">
        <v>22</v>
      </c>
      <c r="M338" s="4">
        <f t="shared" si="20"/>
        <v>3988.7</v>
      </c>
      <c r="N338" s="4">
        <f t="shared" si="21"/>
        <v>0</v>
      </c>
      <c r="O338" s="4">
        <f t="shared" si="22"/>
        <v>717.96599999999989</v>
      </c>
      <c r="P338" s="4">
        <f t="shared" si="23"/>
        <v>4706.6659999999993</v>
      </c>
    </row>
    <row r="339" spans="1:16" x14ac:dyDescent="0.25">
      <c r="A339" s="5" t="s">
        <v>402</v>
      </c>
      <c r="B339" s="6">
        <v>45513</v>
      </c>
      <c r="C339" s="5" t="s">
        <v>59</v>
      </c>
      <c r="D339" s="5" t="s">
        <v>64</v>
      </c>
      <c r="E339" s="5" t="s">
        <v>35</v>
      </c>
      <c r="F339" s="5" t="s">
        <v>88</v>
      </c>
      <c r="G339" s="5" t="s">
        <v>27</v>
      </c>
      <c r="H339" s="5">
        <v>30</v>
      </c>
      <c r="I339" s="7">
        <v>110.77</v>
      </c>
      <c r="J339" s="5">
        <v>15</v>
      </c>
      <c r="K339" s="5">
        <v>18</v>
      </c>
      <c r="L339" s="5" t="s">
        <v>22</v>
      </c>
      <c r="M339" s="7">
        <f t="shared" si="20"/>
        <v>3323.1</v>
      </c>
      <c r="N339" s="7">
        <f t="shared" si="21"/>
        <v>498.46499999999997</v>
      </c>
      <c r="O339" s="7">
        <f t="shared" si="22"/>
        <v>508.43429999999995</v>
      </c>
      <c r="P339" s="7">
        <f t="shared" si="23"/>
        <v>3333.0692999999997</v>
      </c>
    </row>
    <row r="340" spans="1:16" x14ac:dyDescent="0.25">
      <c r="A340" s="2" t="s">
        <v>403</v>
      </c>
      <c r="B340" s="3">
        <v>45432</v>
      </c>
      <c r="C340" s="2" t="s">
        <v>59</v>
      </c>
      <c r="D340" s="2" t="s">
        <v>54</v>
      </c>
      <c r="E340" s="2" t="s">
        <v>35</v>
      </c>
      <c r="F340" s="2" t="s">
        <v>76</v>
      </c>
      <c r="G340" s="2" t="s">
        <v>31</v>
      </c>
      <c r="H340" s="2">
        <v>23</v>
      </c>
      <c r="I340" s="4">
        <v>437.29</v>
      </c>
      <c r="J340" s="2">
        <v>0</v>
      </c>
      <c r="K340" s="2">
        <v>18</v>
      </c>
      <c r="L340" s="2" t="s">
        <v>22</v>
      </c>
      <c r="M340" s="4">
        <f t="shared" si="20"/>
        <v>10057.67</v>
      </c>
      <c r="N340" s="4">
        <f t="shared" si="21"/>
        <v>0</v>
      </c>
      <c r="O340" s="4">
        <f t="shared" si="22"/>
        <v>1810.3806</v>
      </c>
      <c r="P340" s="4">
        <f t="shared" si="23"/>
        <v>11868.0506</v>
      </c>
    </row>
    <row r="341" spans="1:16" x14ac:dyDescent="0.25">
      <c r="A341" s="5" t="s">
        <v>404</v>
      </c>
      <c r="B341" s="6">
        <v>45537</v>
      </c>
      <c r="C341" s="5" t="s">
        <v>47</v>
      </c>
      <c r="D341" s="5" t="s">
        <v>25</v>
      </c>
      <c r="E341" s="5" t="s">
        <v>38</v>
      </c>
      <c r="F341" s="5" t="s">
        <v>70</v>
      </c>
      <c r="G341" s="5" t="s">
        <v>21</v>
      </c>
      <c r="H341" s="5">
        <v>32</v>
      </c>
      <c r="I341" s="7">
        <v>829.86</v>
      </c>
      <c r="J341" s="5">
        <v>15</v>
      </c>
      <c r="K341" s="5">
        <v>18</v>
      </c>
      <c r="L341" s="5" t="s">
        <v>22</v>
      </c>
      <c r="M341" s="7">
        <f t="shared" si="20"/>
        <v>26555.52</v>
      </c>
      <c r="N341" s="7">
        <f t="shared" si="21"/>
        <v>3983.328</v>
      </c>
      <c r="O341" s="7">
        <f t="shared" si="22"/>
        <v>4062.9945600000001</v>
      </c>
      <c r="P341" s="7">
        <f t="shared" si="23"/>
        <v>26635.186559999998</v>
      </c>
    </row>
    <row r="342" spans="1:16" x14ac:dyDescent="0.25">
      <c r="A342" s="2" t="s">
        <v>405</v>
      </c>
      <c r="B342" s="3">
        <v>45419</v>
      </c>
      <c r="C342" s="2" t="s">
        <v>17</v>
      </c>
      <c r="D342" s="2" t="s">
        <v>54</v>
      </c>
      <c r="E342" s="2" t="s">
        <v>19</v>
      </c>
      <c r="F342" s="2" t="s">
        <v>20</v>
      </c>
      <c r="G342" s="2" t="s">
        <v>21</v>
      </c>
      <c r="H342" s="2">
        <v>13</v>
      </c>
      <c r="I342" s="4">
        <v>1288.8800000000001</v>
      </c>
      <c r="J342" s="2">
        <v>15</v>
      </c>
      <c r="K342" s="2">
        <v>18</v>
      </c>
      <c r="L342" s="2" t="s">
        <v>49</v>
      </c>
      <c r="M342" s="4">
        <f t="shared" si="20"/>
        <v>16755.440000000002</v>
      </c>
      <c r="N342" s="4">
        <f t="shared" si="21"/>
        <v>2513.3160000000003</v>
      </c>
      <c r="O342" s="4">
        <f t="shared" si="22"/>
        <v>2563.58232</v>
      </c>
      <c r="P342" s="4">
        <f t="shared" si="23"/>
        <v>16805.706320000001</v>
      </c>
    </row>
    <row r="343" spans="1:16" x14ac:dyDescent="0.25">
      <c r="A343" s="5" t="s">
        <v>406</v>
      </c>
      <c r="B343" s="6">
        <v>45549</v>
      </c>
      <c r="C343" s="5" t="s">
        <v>24</v>
      </c>
      <c r="D343" s="5" t="s">
        <v>64</v>
      </c>
      <c r="E343" s="5" t="s">
        <v>29</v>
      </c>
      <c r="F343" s="5" t="s">
        <v>80</v>
      </c>
      <c r="G343" s="5" t="s">
        <v>31</v>
      </c>
      <c r="H343" s="5">
        <v>32</v>
      </c>
      <c r="I343" s="7">
        <v>694.63</v>
      </c>
      <c r="J343" s="5">
        <v>15</v>
      </c>
      <c r="K343" s="5">
        <v>18</v>
      </c>
      <c r="L343" s="5" t="s">
        <v>32</v>
      </c>
      <c r="M343" s="7">
        <f t="shared" si="20"/>
        <v>22228.16</v>
      </c>
      <c r="N343" s="7">
        <f t="shared" si="21"/>
        <v>3334.2240000000002</v>
      </c>
      <c r="O343" s="7">
        <f t="shared" si="22"/>
        <v>3400.9084800000001</v>
      </c>
      <c r="P343" s="7">
        <f t="shared" si="23"/>
        <v>22294.84448</v>
      </c>
    </row>
    <row r="344" spans="1:16" x14ac:dyDescent="0.25">
      <c r="A344" s="2" t="s">
        <v>407</v>
      </c>
      <c r="B344" s="3">
        <v>45321</v>
      </c>
      <c r="C344" s="2" t="s">
        <v>17</v>
      </c>
      <c r="D344" s="2" t="s">
        <v>34</v>
      </c>
      <c r="E344" s="2" t="s">
        <v>38</v>
      </c>
      <c r="F344" s="2" t="s">
        <v>70</v>
      </c>
      <c r="G344" s="2" t="s">
        <v>27</v>
      </c>
      <c r="H344" s="2">
        <v>39</v>
      </c>
      <c r="I344" s="4">
        <v>445.85</v>
      </c>
      <c r="J344" s="2">
        <v>5</v>
      </c>
      <c r="K344" s="2">
        <v>18</v>
      </c>
      <c r="L344" s="2" t="s">
        <v>22</v>
      </c>
      <c r="M344" s="4">
        <f t="shared" si="20"/>
        <v>17388.150000000001</v>
      </c>
      <c r="N344" s="4">
        <f t="shared" si="21"/>
        <v>869.40750000000003</v>
      </c>
      <c r="O344" s="4">
        <f t="shared" si="22"/>
        <v>2973.37365</v>
      </c>
      <c r="P344" s="4">
        <f t="shared" si="23"/>
        <v>19492.116150000002</v>
      </c>
    </row>
    <row r="345" spans="1:16" x14ac:dyDescent="0.25">
      <c r="A345" s="5" t="s">
        <v>408</v>
      </c>
      <c r="B345" s="6">
        <v>45565</v>
      </c>
      <c r="C345" s="5" t="s">
        <v>17</v>
      </c>
      <c r="D345" s="5" t="s">
        <v>18</v>
      </c>
      <c r="E345" s="5" t="s">
        <v>35</v>
      </c>
      <c r="F345" s="5" t="s">
        <v>68</v>
      </c>
      <c r="G345" s="5" t="s">
        <v>21</v>
      </c>
      <c r="H345" s="5">
        <v>16</v>
      </c>
      <c r="I345" s="7">
        <v>1317.16</v>
      </c>
      <c r="J345" s="5">
        <v>5</v>
      </c>
      <c r="K345" s="5">
        <v>18</v>
      </c>
      <c r="L345" s="5" t="s">
        <v>22</v>
      </c>
      <c r="M345" s="7">
        <f t="shared" si="20"/>
        <v>21074.560000000001</v>
      </c>
      <c r="N345" s="7">
        <f t="shared" si="21"/>
        <v>1053.7280000000001</v>
      </c>
      <c r="O345" s="7">
        <f t="shared" si="22"/>
        <v>3603.7497600000002</v>
      </c>
      <c r="P345" s="7">
        <f t="shared" si="23"/>
        <v>23624.581760000001</v>
      </c>
    </row>
    <row r="346" spans="1:16" x14ac:dyDescent="0.25">
      <c r="A346" s="2" t="s">
        <v>409</v>
      </c>
      <c r="B346" s="3">
        <v>45649</v>
      </c>
      <c r="C346" s="2" t="s">
        <v>24</v>
      </c>
      <c r="D346" s="2" t="s">
        <v>64</v>
      </c>
      <c r="E346" s="2" t="s">
        <v>19</v>
      </c>
      <c r="F346" s="2" t="s">
        <v>57</v>
      </c>
      <c r="G346" s="2" t="s">
        <v>21</v>
      </c>
      <c r="H346" s="2">
        <v>16</v>
      </c>
      <c r="I346" s="4">
        <v>1189.1099999999999</v>
      </c>
      <c r="J346" s="2">
        <v>20</v>
      </c>
      <c r="K346" s="2">
        <v>18</v>
      </c>
      <c r="L346" s="2" t="s">
        <v>22</v>
      </c>
      <c r="M346" s="4">
        <f t="shared" si="20"/>
        <v>19025.759999999998</v>
      </c>
      <c r="N346" s="4">
        <f t="shared" si="21"/>
        <v>3805.1519999999996</v>
      </c>
      <c r="O346" s="4">
        <f t="shared" si="22"/>
        <v>2739.7094399999996</v>
      </c>
      <c r="P346" s="4">
        <f t="shared" si="23"/>
        <v>17960.317439999999</v>
      </c>
    </row>
    <row r="347" spans="1:16" x14ac:dyDescent="0.25">
      <c r="A347" s="5" t="s">
        <v>410</v>
      </c>
      <c r="B347" s="6">
        <v>45569</v>
      </c>
      <c r="C347" s="5" t="s">
        <v>59</v>
      </c>
      <c r="D347" s="5" t="s">
        <v>64</v>
      </c>
      <c r="E347" s="5" t="s">
        <v>38</v>
      </c>
      <c r="F347" s="5" t="s">
        <v>39</v>
      </c>
      <c r="G347" s="5" t="s">
        <v>21</v>
      </c>
      <c r="H347" s="5">
        <v>13</v>
      </c>
      <c r="I347" s="7">
        <v>1675.03</v>
      </c>
      <c r="J347" s="5">
        <v>10</v>
      </c>
      <c r="K347" s="5">
        <v>18</v>
      </c>
      <c r="L347" s="5" t="s">
        <v>32</v>
      </c>
      <c r="M347" s="7">
        <f t="shared" si="20"/>
        <v>21775.39</v>
      </c>
      <c r="N347" s="7">
        <f t="shared" si="21"/>
        <v>2177.5389999999998</v>
      </c>
      <c r="O347" s="7">
        <f t="shared" si="22"/>
        <v>3527.6131799999998</v>
      </c>
      <c r="P347" s="7">
        <f t="shared" si="23"/>
        <v>23125.464179999999</v>
      </c>
    </row>
    <row r="348" spans="1:16" x14ac:dyDescent="0.25">
      <c r="A348" s="2" t="s">
        <v>411</v>
      </c>
      <c r="B348" s="3">
        <v>45561</v>
      </c>
      <c r="C348" s="2" t="s">
        <v>24</v>
      </c>
      <c r="D348" s="2" t="s">
        <v>25</v>
      </c>
      <c r="E348" s="2" t="s">
        <v>38</v>
      </c>
      <c r="F348" s="2" t="s">
        <v>96</v>
      </c>
      <c r="G348" s="2" t="s">
        <v>27</v>
      </c>
      <c r="H348" s="2">
        <v>15</v>
      </c>
      <c r="I348" s="4">
        <v>1207.31</v>
      </c>
      <c r="J348" s="2">
        <v>0</v>
      </c>
      <c r="K348" s="2">
        <v>18</v>
      </c>
      <c r="L348" s="2" t="s">
        <v>22</v>
      </c>
      <c r="M348" s="4">
        <f t="shared" si="20"/>
        <v>18109.649999999998</v>
      </c>
      <c r="N348" s="4">
        <f t="shared" si="21"/>
        <v>0</v>
      </c>
      <c r="O348" s="4">
        <f t="shared" si="22"/>
        <v>3259.7369999999996</v>
      </c>
      <c r="P348" s="4">
        <f t="shared" si="23"/>
        <v>21369.386999999999</v>
      </c>
    </row>
    <row r="349" spans="1:16" x14ac:dyDescent="0.25">
      <c r="A349" s="5" t="s">
        <v>412</v>
      </c>
      <c r="B349" s="6">
        <v>45322</v>
      </c>
      <c r="C349" s="5" t="s">
        <v>17</v>
      </c>
      <c r="D349" s="5" t="s">
        <v>18</v>
      </c>
      <c r="E349" s="5" t="s">
        <v>35</v>
      </c>
      <c r="F349" s="5" t="s">
        <v>82</v>
      </c>
      <c r="G349" s="5" t="s">
        <v>21</v>
      </c>
      <c r="H349" s="5">
        <v>46</v>
      </c>
      <c r="I349" s="7">
        <v>363.15</v>
      </c>
      <c r="J349" s="5">
        <v>5</v>
      </c>
      <c r="K349" s="5">
        <v>18</v>
      </c>
      <c r="L349" s="5" t="s">
        <v>22</v>
      </c>
      <c r="M349" s="7">
        <f t="shared" si="20"/>
        <v>16704.899999999998</v>
      </c>
      <c r="N349" s="7">
        <f t="shared" si="21"/>
        <v>835.24499999999989</v>
      </c>
      <c r="O349" s="7">
        <f t="shared" si="22"/>
        <v>2856.5378999999998</v>
      </c>
      <c r="P349" s="7">
        <f t="shared" si="23"/>
        <v>18726.192899999998</v>
      </c>
    </row>
    <row r="350" spans="1:16" x14ac:dyDescent="0.25">
      <c r="A350" s="2" t="s">
        <v>413</v>
      </c>
      <c r="B350" s="3">
        <v>45494</v>
      </c>
      <c r="C350" s="2" t="s">
        <v>47</v>
      </c>
      <c r="D350" s="2" t="s">
        <v>60</v>
      </c>
      <c r="E350" s="2" t="s">
        <v>19</v>
      </c>
      <c r="F350" s="2" t="s">
        <v>57</v>
      </c>
      <c r="G350" s="2" t="s">
        <v>55</v>
      </c>
      <c r="H350" s="2">
        <v>24</v>
      </c>
      <c r="I350" s="4">
        <v>1412.03</v>
      </c>
      <c r="J350" s="2">
        <v>20</v>
      </c>
      <c r="K350" s="2">
        <v>18</v>
      </c>
      <c r="L350" s="2" t="s">
        <v>22</v>
      </c>
      <c r="M350" s="4">
        <f t="shared" si="20"/>
        <v>33888.720000000001</v>
      </c>
      <c r="N350" s="4">
        <f t="shared" si="21"/>
        <v>6777.7440000000006</v>
      </c>
      <c r="O350" s="4">
        <f t="shared" si="22"/>
        <v>4879.9756800000005</v>
      </c>
      <c r="P350" s="4">
        <f t="shared" si="23"/>
        <v>31990.951680000002</v>
      </c>
    </row>
    <row r="351" spans="1:16" x14ac:dyDescent="0.25">
      <c r="A351" s="5" t="s">
        <v>414</v>
      </c>
      <c r="B351" s="6">
        <v>45619</v>
      </c>
      <c r="C351" s="5" t="s">
        <v>17</v>
      </c>
      <c r="D351" s="5" t="s">
        <v>43</v>
      </c>
      <c r="E351" s="5" t="s">
        <v>29</v>
      </c>
      <c r="F351" s="5" t="s">
        <v>80</v>
      </c>
      <c r="G351" s="5" t="s">
        <v>55</v>
      </c>
      <c r="H351" s="5">
        <v>11</v>
      </c>
      <c r="I351" s="7">
        <v>1467.38</v>
      </c>
      <c r="J351" s="5">
        <v>10</v>
      </c>
      <c r="K351" s="5">
        <v>18</v>
      </c>
      <c r="L351" s="5" t="s">
        <v>22</v>
      </c>
      <c r="M351" s="7">
        <f t="shared" si="20"/>
        <v>16141.18</v>
      </c>
      <c r="N351" s="7">
        <f t="shared" si="21"/>
        <v>1614.1179999999999</v>
      </c>
      <c r="O351" s="7">
        <f t="shared" si="22"/>
        <v>2614.8711600000001</v>
      </c>
      <c r="P351" s="7">
        <f t="shared" si="23"/>
        <v>17141.93316</v>
      </c>
    </row>
    <row r="352" spans="1:16" x14ac:dyDescent="0.25">
      <c r="A352" s="2" t="s">
        <v>415</v>
      </c>
      <c r="B352" s="3">
        <v>45644</v>
      </c>
      <c r="C352" s="2" t="s">
        <v>47</v>
      </c>
      <c r="D352" s="2" t="s">
        <v>64</v>
      </c>
      <c r="E352" s="2" t="s">
        <v>35</v>
      </c>
      <c r="F352" s="2" t="s">
        <v>36</v>
      </c>
      <c r="G352" s="2" t="s">
        <v>21</v>
      </c>
      <c r="H352" s="2">
        <v>12</v>
      </c>
      <c r="I352" s="4">
        <v>762.98</v>
      </c>
      <c r="J352" s="2">
        <v>20</v>
      </c>
      <c r="K352" s="2">
        <v>18</v>
      </c>
      <c r="L352" s="2" t="s">
        <v>32</v>
      </c>
      <c r="M352" s="4">
        <f t="shared" si="20"/>
        <v>9155.76</v>
      </c>
      <c r="N352" s="4">
        <f t="shared" si="21"/>
        <v>1831.152</v>
      </c>
      <c r="O352" s="4">
        <f t="shared" si="22"/>
        <v>1318.4294400000001</v>
      </c>
      <c r="P352" s="4">
        <f t="shared" si="23"/>
        <v>8643.0374400000001</v>
      </c>
    </row>
    <row r="353" spans="1:16" x14ac:dyDescent="0.25">
      <c r="A353" s="5" t="s">
        <v>416</v>
      </c>
      <c r="B353" s="6">
        <v>45605</v>
      </c>
      <c r="C353" s="5" t="s">
        <v>47</v>
      </c>
      <c r="D353" s="5" t="s">
        <v>25</v>
      </c>
      <c r="E353" s="5" t="s">
        <v>38</v>
      </c>
      <c r="F353" s="5" t="s">
        <v>96</v>
      </c>
      <c r="G353" s="5" t="s">
        <v>31</v>
      </c>
      <c r="H353" s="5">
        <v>3</v>
      </c>
      <c r="I353" s="7">
        <v>372.34</v>
      </c>
      <c r="J353" s="5">
        <v>5</v>
      </c>
      <c r="K353" s="5">
        <v>18</v>
      </c>
      <c r="L353" s="5" t="s">
        <v>32</v>
      </c>
      <c r="M353" s="7">
        <f t="shared" si="20"/>
        <v>1117.02</v>
      </c>
      <c r="N353" s="7">
        <f t="shared" si="21"/>
        <v>55.851000000000006</v>
      </c>
      <c r="O353" s="7">
        <f t="shared" si="22"/>
        <v>191.01041999999998</v>
      </c>
      <c r="P353" s="7">
        <f t="shared" si="23"/>
        <v>1252.1794199999999</v>
      </c>
    </row>
    <row r="354" spans="1:16" x14ac:dyDescent="0.25">
      <c r="A354" s="2" t="s">
        <v>417</v>
      </c>
      <c r="B354" s="3">
        <v>45455</v>
      </c>
      <c r="C354" s="2" t="s">
        <v>59</v>
      </c>
      <c r="D354" s="2" t="s">
        <v>52</v>
      </c>
      <c r="E354" s="2" t="s">
        <v>44</v>
      </c>
      <c r="F354" s="2" t="s">
        <v>141</v>
      </c>
      <c r="G354" s="2" t="s">
        <v>21</v>
      </c>
      <c r="H354" s="2">
        <v>48</v>
      </c>
      <c r="I354" s="4">
        <v>164.84</v>
      </c>
      <c r="J354" s="2">
        <v>5</v>
      </c>
      <c r="K354" s="2">
        <v>18</v>
      </c>
      <c r="L354" s="2" t="s">
        <v>22</v>
      </c>
      <c r="M354" s="4">
        <f t="shared" si="20"/>
        <v>7912.32</v>
      </c>
      <c r="N354" s="4">
        <f t="shared" si="21"/>
        <v>395.61599999999999</v>
      </c>
      <c r="O354" s="4">
        <f t="shared" si="22"/>
        <v>1353.0067199999999</v>
      </c>
      <c r="P354" s="4">
        <f t="shared" si="23"/>
        <v>8869.7107199999991</v>
      </c>
    </row>
    <row r="355" spans="1:16" x14ac:dyDescent="0.25">
      <c r="A355" s="5" t="s">
        <v>418</v>
      </c>
      <c r="B355" s="6">
        <v>45471</v>
      </c>
      <c r="C355" s="5" t="s">
        <v>17</v>
      </c>
      <c r="D355" s="5" t="s">
        <v>52</v>
      </c>
      <c r="E355" s="5" t="s">
        <v>44</v>
      </c>
      <c r="F355" s="5" t="s">
        <v>45</v>
      </c>
      <c r="G355" s="5" t="s">
        <v>27</v>
      </c>
      <c r="H355" s="5">
        <v>14</v>
      </c>
      <c r="I355" s="7">
        <v>506.59</v>
      </c>
      <c r="J355" s="5">
        <v>0</v>
      </c>
      <c r="K355" s="5">
        <v>18</v>
      </c>
      <c r="L355" s="5" t="s">
        <v>22</v>
      </c>
      <c r="M355" s="7">
        <f t="shared" si="20"/>
        <v>7092.2599999999993</v>
      </c>
      <c r="N355" s="7">
        <f t="shared" si="21"/>
        <v>0</v>
      </c>
      <c r="O355" s="7">
        <f t="shared" si="22"/>
        <v>1276.6068</v>
      </c>
      <c r="P355" s="7">
        <f t="shared" si="23"/>
        <v>8368.8667999999998</v>
      </c>
    </row>
    <row r="356" spans="1:16" x14ac:dyDescent="0.25">
      <c r="A356" s="2" t="s">
        <v>419</v>
      </c>
      <c r="B356" s="3">
        <v>45503</v>
      </c>
      <c r="C356" s="2" t="s">
        <v>59</v>
      </c>
      <c r="D356" s="2" t="s">
        <v>25</v>
      </c>
      <c r="E356" s="2" t="s">
        <v>38</v>
      </c>
      <c r="F356" s="2" t="s">
        <v>48</v>
      </c>
      <c r="G356" s="2" t="s">
        <v>31</v>
      </c>
      <c r="H356" s="2">
        <v>47</v>
      </c>
      <c r="I356" s="4">
        <v>845.11</v>
      </c>
      <c r="J356" s="2">
        <v>0</v>
      </c>
      <c r="K356" s="2">
        <v>18</v>
      </c>
      <c r="L356" s="2" t="s">
        <v>49</v>
      </c>
      <c r="M356" s="4">
        <f t="shared" si="20"/>
        <v>39720.17</v>
      </c>
      <c r="N356" s="4">
        <f t="shared" si="21"/>
        <v>0</v>
      </c>
      <c r="O356" s="4">
        <f t="shared" si="22"/>
        <v>7149.6305999999995</v>
      </c>
      <c r="P356" s="4">
        <f t="shared" si="23"/>
        <v>46869.800599999995</v>
      </c>
    </row>
    <row r="357" spans="1:16" x14ac:dyDescent="0.25">
      <c r="A357" s="5" t="s">
        <v>420</v>
      </c>
      <c r="B357" s="6">
        <v>45407</v>
      </c>
      <c r="C357" s="5" t="s">
        <v>17</v>
      </c>
      <c r="D357" s="5" t="s">
        <v>54</v>
      </c>
      <c r="E357" s="5" t="s">
        <v>35</v>
      </c>
      <c r="F357" s="5" t="s">
        <v>76</v>
      </c>
      <c r="G357" s="5" t="s">
        <v>27</v>
      </c>
      <c r="H357" s="5">
        <v>37</v>
      </c>
      <c r="I357" s="7">
        <v>1305.43</v>
      </c>
      <c r="J357" s="5">
        <v>20</v>
      </c>
      <c r="K357" s="5">
        <v>18</v>
      </c>
      <c r="L357" s="5" t="s">
        <v>49</v>
      </c>
      <c r="M357" s="7">
        <f t="shared" si="20"/>
        <v>48300.91</v>
      </c>
      <c r="N357" s="7">
        <f t="shared" si="21"/>
        <v>9660.1820000000007</v>
      </c>
      <c r="O357" s="7">
        <f t="shared" si="22"/>
        <v>6955.3310400000009</v>
      </c>
      <c r="P357" s="7">
        <f t="shared" si="23"/>
        <v>45596.059040000007</v>
      </c>
    </row>
    <row r="358" spans="1:16" x14ac:dyDescent="0.25">
      <c r="A358" s="2" t="s">
        <v>421</v>
      </c>
      <c r="B358" s="3">
        <v>45329</v>
      </c>
      <c r="C358" s="2" t="s">
        <v>59</v>
      </c>
      <c r="D358" s="2" t="s">
        <v>25</v>
      </c>
      <c r="E358" s="2" t="s">
        <v>44</v>
      </c>
      <c r="F358" s="2" t="s">
        <v>91</v>
      </c>
      <c r="G358" s="2" t="s">
        <v>55</v>
      </c>
      <c r="H358" s="2">
        <v>21</v>
      </c>
      <c r="I358" s="4">
        <v>529.64</v>
      </c>
      <c r="J358" s="2">
        <v>0</v>
      </c>
      <c r="K358" s="2">
        <v>18</v>
      </c>
      <c r="L358" s="2" t="s">
        <v>22</v>
      </c>
      <c r="M358" s="4">
        <f t="shared" si="20"/>
        <v>11122.44</v>
      </c>
      <c r="N358" s="4">
        <f t="shared" si="21"/>
        <v>0</v>
      </c>
      <c r="O358" s="4">
        <f t="shared" si="22"/>
        <v>2002.0392000000002</v>
      </c>
      <c r="P358" s="4">
        <f t="shared" si="23"/>
        <v>13124.479200000002</v>
      </c>
    </row>
    <row r="359" spans="1:16" x14ac:dyDescent="0.25">
      <c r="A359" s="5" t="s">
        <v>422</v>
      </c>
      <c r="B359" s="6">
        <v>45539</v>
      </c>
      <c r="C359" s="5" t="s">
        <v>24</v>
      </c>
      <c r="D359" s="5" t="s">
        <v>34</v>
      </c>
      <c r="E359" s="5" t="s">
        <v>38</v>
      </c>
      <c r="F359" s="5" t="s">
        <v>96</v>
      </c>
      <c r="G359" s="5" t="s">
        <v>27</v>
      </c>
      <c r="H359" s="5">
        <v>6</v>
      </c>
      <c r="I359" s="7">
        <v>682.52</v>
      </c>
      <c r="J359" s="5">
        <v>15</v>
      </c>
      <c r="K359" s="5">
        <v>18</v>
      </c>
      <c r="L359" s="5" t="s">
        <v>32</v>
      </c>
      <c r="M359" s="7">
        <f t="shared" si="20"/>
        <v>4095.12</v>
      </c>
      <c r="N359" s="7">
        <f t="shared" si="21"/>
        <v>614.26799999999992</v>
      </c>
      <c r="O359" s="7">
        <f t="shared" si="22"/>
        <v>626.55336</v>
      </c>
      <c r="P359" s="7">
        <f t="shared" si="23"/>
        <v>4107.4053599999997</v>
      </c>
    </row>
    <row r="360" spans="1:16" x14ac:dyDescent="0.25">
      <c r="A360" s="2" t="s">
        <v>423</v>
      </c>
      <c r="B360" s="3">
        <v>45501</v>
      </c>
      <c r="C360" s="2" t="s">
        <v>47</v>
      </c>
      <c r="D360" s="2" t="s">
        <v>54</v>
      </c>
      <c r="E360" s="2" t="s">
        <v>19</v>
      </c>
      <c r="F360" s="2" t="s">
        <v>157</v>
      </c>
      <c r="G360" s="2" t="s">
        <v>21</v>
      </c>
      <c r="H360" s="2">
        <v>7</v>
      </c>
      <c r="I360" s="4">
        <v>668.88</v>
      </c>
      <c r="J360" s="2">
        <v>0</v>
      </c>
      <c r="K360" s="2">
        <v>18</v>
      </c>
      <c r="L360" s="2" t="s">
        <v>22</v>
      </c>
      <c r="M360" s="4">
        <f t="shared" si="20"/>
        <v>4682.16</v>
      </c>
      <c r="N360" s="4">
        <f t="shared" si="21"/>
        <v>0</v>
      </c>
      <c r="O360" s="4">
        <f t="shared" si="22"/>
        <v>842.78880000000004</v>
      </c>
      <c r="P360" s="4">
        <f t="shared" si="23"/>
        <v>5524.9488000000001</v>
      </c>
    </row>
    <row r="361" spans="1:16" x14ac:dyDescent="0.25">
      <c r="A361" s="5" t="s">
        <v>424</v>
      </c>
      <c r="B361" s="6">
        <v>45573</v>
      </c>
      <c r="C361" s="5" t="s">
        <v>17</v>
      </c>
      <c r="D361" s="5" t="s">
        <v>43</v>
      </c>
      <c r="E361" s="5" t="s">
        <v>29</v>
      </c>
      <c r="F361" s="5" t="s">
        <v>65</v>
      </c>
      <c r="G361" s="5" t="s">
        <v>55</v>
      </c>
      <c r="H361" s="5">
        <v>7</v>
      </c>
      <c r="I361" s="7">
        <v>108.77</v>
      </c>
      <c r="J361" s="5">
        <v>15</v>
      </c>
      <c r="K361" s="5">
        <v>18</v>
      </c>
      <c r="L361" s="5" t="s">
        <v>22</v>
      </c>
      <c r="M361" s="7">
        <f t="shared" si="20"/>
        <v>761.39</v>
      </c>
      <c r="N361" s="7">
        <f t="shared" si="21"/>
        <v>114.2085</v>
      </c>
      <c r="O361" s="7">
        <f t="shared" si="22"/>
        <v>116.49267</v>
      </c>
      <c r="P361" s="7">
        <f t="shared" si="23"/>
        <v>763.67417</v>
      </c>
    </row>
    <row r="362" spans="1:16" x14ac:dyDescent="0.25">
      <c r="A362" s="2" t="s">
        <v>425</v>
      </c>
      <c r="B362" s="3">
        <v>45612</v>
      </c>
      <c r="C362" s="2" t="s">
        <v>59</v>
      </c>
      <c r="D362" s="2" t="s">
        <v>64</v>
      </c>
      <c r="E362" s="2" t="s">
        <v>35</v>
      </c>
      <c r="F362" s="2" t="s">
        <v>88</v>
      </c>
      <c r="G362" s="2" t="s">
        <v>27</v>
      </c>
      <c r="H362" s="2">
        <v>6</v>
      </c>
      <c r="I362" s="4">
        <v>596.15</v>
      </c>
      <c r="J362" s="2">
        <v>20</v>
      </c>
      <c r="K362" s="2">
        <v>18</v>
      </c>
      <c r="L362" s="2" t="s">
        <v>49</v>
      </c>
      <c r="M362" s="4">
        <f t="shared" si="20"/>
        <v>3576.8999999999996</v>
      </c>
      <c r="N362" s="4">
        <f t="shared" si="21"/>
        <v>715.38</v>
      </c>
      <c r="O362" s="4">
        <f t="shared" si="22"/>
        <v>515.07359999999994</v>
      </c>
      <c r="P362" s="4">
        <f t="shared" si="23"/>
        <v>3376.5935999999992</v>
      </c>
    </row>
    <row r="363" spans="1:16" x14ac:dyDescent="0.25">
      <c r="A363" s="5" t="s">
        <v>426</v>
      </c>
      <c r="B363" s="6">
        <v>45534</v>
      </c>
      <c r="C363" s="5" t="s">
        <v>47</v>
      </c>
      <c r="D363" s="5" t="s">
        <v>60</v>
      </c>
      <c r="E363" s="5" t="s">
        <v>29</v>
      </c>
      <c r="F363" s="5" t="s">
        <v>74</v>
      </c>
      <c r="G363" s="5" t="s">
        <v>27</v>
      </c>
      <c r="H363" s="5">
        <v>11</v>
      </c>
      <c r="I363" s="7">
        <v>1280</v>
      </c>
      <c r="J363" s="5">
        <v>0</v>
      </c>
      <c r="K363" s="5">
        <v>18</v>
      </c>
      <c r="L363" s="5" t="s">
        <v>22</v>
      </c>
      <c r="M363" s="7">
        <f t="shared" si="20"/>
        <v>14080</v>
      </c>
      <c r="N363" s="7">
        <f t="shared" si="21"/>
        <v>0</v>
      </c>
      <c r="O363" s="7">
        <f t="shared" si="22"/>
        <v>2534.4</v>
      </c>
      <c r="P363" s="7">
        <f t="shared" si="23"/>
        <v>16614.400000000001</v>
      </c>
    </row>
    <row r="364" spans="1:16" x14ac:dyDescent="0.25">
      <c r="A364" s="2" t="s">
        <v>427</v>
      </c>
      <c r="B364" s="3">
        <v>45386</v>
      </c>
      <c r="C364" s="2" t="s">
        <v>24</v>
      </c>
      <c r="D364" s="2" t="s">
        <v>52</v>
      </c>
      <c r="E364" s="2" t="s">
        <v>19</v>
      </c>
      <c r="F364" s="2" t="s">
        <v>62</v>
      </c>
      <c r="G364" s="2" t="s">
        <v>31</v>
      </c>
      <c r="H364" s="2">
        <v>6</v>
      </c>
      <c r="I364" s="4">
        <v>1287.31</v>
      </c>
      <c r="J364" s="2">
        <v>10</v>
      </c>
      <c r="K364" s="2">
        <v>18</v>
      </c>
      <c r="L364" s="2" t="s">
        <v>22</v>
      </c>
      <c r="M364" s="4">
        <f t="shared" si="20"/>
        <v>7723.86</v>
      </c>
      <c r="N364" s="4">
        <f t="shared" si="21"/>
        <v>772.38599999999997</v>
      </c>
      <c r="O364" s="4">
        <f t="shared" si="22"/>
        <v>1251.26532</v>
      </c>
      <c r="P364" s="4">
        <f t="shared" si="23"/>
        <v>8202.7393200000006</v>
      </c>
    </row>
    <row r="365" spans="1:16" x14ac:dyDescent="0.25">
      <c r="A365" s="5" t="s">
        <v>428</v>
      </c>
      <c r="B365" s="6">
        <v>45407</v>
      </c>
      <c r="C365" s="5" t="s">
        <v>17</v>
      </c>
      <c r="D365" s="5" t="s">
        <v>34</v>
      </c>
      <c r="E365" s="5" t="s">
        <v>38</v>
      </c>
      <c r="F365" s="5" t="s">
        <v>70</v>
      </c>
      <c r="G365" s="5" t="s">
        <v>31</v>
      </c>
      <c r="H365" s="5">
        <v>17</v>
      </c>
      <c r="I365" s="7">
        <v>885.08</v>
      </c>
      <c r="J365" s="5">
        <v>5</v>
      </c>
      <c r="K365" s="5">
        <v>18</v>
      </c>
      <c r="L365" s="5" t="s">
        <v>22</v>
      </c>
      <c r="M365" s="7">
        <f t="shared" si="20"/>
        <v>15046.36</v>
      </c>
      <c r="N365" s="7">
        <f t="shared" si="21"/>
        <v>752.31799999999998</v>
      </c>
      <c r="O365" s="7">
        <f t="shared" si="22"/>
        <v>2572.9275600000001</v>
      </c>
      <c r="P365" s="7">
        <f t="shared" si="23"/>
        <v>16866.969560000001</v>
      </c>
    </row>
    <row r="366" spans="1:16" x14ac:dyDescent="0.25">
      <c r="A366" s="2" t="s">
        <v>429</v>
      </c>
      <c r="B366" s="3">
        <v>45503</v>
      </c>
      <c r="C366" s="2" t="s">
        <v>59</v>
      </c>
      <c r="D366" s="2" t="s">
        <v>34</v>
      </c>
      <c r="E366" s="2" t="s">
        <v>38</v>
      </c>
      <c r="F366" s="2" t="s">
        <v>39</v>
      </c>
      <c r="G366" s="2" t="s">
        <v>27</v>
      </c>
      <c r="H366" s="2">
        <v>43</v>
      </c>
      <c r="I366" s="4">
        <v>694.14</v>
      </c>
      <c r="J366" s="2">
        <v>15</v>
      </c>
      <c r="K366" s="2">
        <v>18</v>
      </c>
      <c r="L366" s="2" t="s">
        <v>22</v>
      </c>
      <c r="M366" s="4">
        <f t="shared" si="20"/>
        <v>29848.02</v>
      </c>
      <c r="N366" s="4">
        <f t="shared" si="21"/>
        <v>4477.2029999999995</v>
      </c>
      <c r="O366" s="4">
        <f t="shared" si="22"/>
        <v>4566.7470600000006</v>
      </c>
      <c r="P366" s="4">
        <f t="shared" si="23"/>
        <v>29937.564060000004</v>
      </c>
    </row>
    <row r="367" spans="1:16" x14ac:dyDescent="0.25">
      <c r="A367" s="5" t="s">
        <v>430</v>
      </c>
      <c r="B367" s="6">
        <v>45585</v>
      </c>
      <c r="C367" s="5" t="s">
        <v>59</v>
      </c>
      <c r="D367" s="5" t="s">
        <v>54</v>
      </c>
      <c r="E367" s="5" t="s">
        <v>29</v>
      </c>
      <c r="F367" s="5" t="s">
        <v>30</v>
      </c>
      <c r="G367" s="5" t="s">
        <v>31</v>
      </c>
      <c r="H367" s="5">
        <v>44</v>
      </c>
      <c r="I367" s="7">
        <v>1735.12</v>
      </c>
      <c r="J367" s="5">
        <v>10</v>
      </c>
      <c r="K367" s="5">
        <v>18</v>
      </c>
      <c r="L367" s="5" t="s">
        <v>32</v>
      </c>
      <c r="M367" s="7">
        <f t="shared" si="20"/>
        <v>76345.279999999999</v>
      </c>
      <c r="N367" s="7">
        <f t="shared" si="21"/>
        <v>7634.5280000000002</v>
      </c>
      <c r="O367" s="7">
        <f t="shared" si="22"/>
        <v>12367.935359999998</v>
      </c>
      <c r="P367" s="7">
        <f t="shared" si="23"/>
        <v>81078.687359999996</v>
      </c>
    </row>
    <row r="368" spans="1:16" x14ac:dyDescent="0.25">
      <c r="A368" s="2" t="s">
        <v>431</v>
      </c>
      <c r="B368" s="3">
        <v>45584</v>
      </c>
      <c r="C368" s="2" t="s">
        <v>17</v>
      </c>
      <c r="D368" s="2" t="s">
        <v>60</v>
      </c>
      <c r="E368" s="2" t="s">
        <v>44</v>
      </c>
      <c r="F368" s="2" t="s">
        <v>91</v>
      </c>
      <c r="G368" s="2" t="s">
        <v>31</v>
      </c>
      <c r="H368" s="2">
        <v>33</v>
      </c>
      <c r="I368" s="4">
        <v>1146.73</v>
      </c>
      <c r="J368" s="2">
        <v>15</v>
      </c>
      <c r="K368" s="2">
        <v>18</v>
      </c>
      <c r="L368" s="2" t="s">
        <v>22</v>
      </c>
      <c r="M368" s="4">
        <f t="shared" si="20"/>
        <v>37842.090000000004</v>
      </c>
      <c r="N368" s="4">
        <f t="shared" si="21"/>
        <v>5676.3135000000011</v>
      </c>
      <c r="O368" s="4">
        <f t="shared" si="22"/>
        <v>5789.8397700000005</v>
      </c>
      <c r="P368" s="4">
        <f t="shared" si="23"/>
        <v>37955.616270000006</v>
      </c>
    </row>
    <row r="369" spans="1:16" x14ac:dyDescent="0.25">
      <c r="A369" s="5" t="s">
        <v>432</v>
      </c>
      <c r="B369" s="6">
        <v>45313</v>
      </c>
      <c r="C369" s="5" t="s">
        <v>59</v>
      </c>
      <c r="D369" s="5" t="s">
        <v>52</v>
      </c>
      <c r="E369" s="5" t="s">
        <v>29</v>
      </c>
      <c r="F369" s="5" t="s">
        <v>30</v>
      </c>
      <c r="G369" s="5" t="s">
        <v>21</v>
      </c>
      <c r="H369" s="5">
        <v>14</v>
      </c>
      <c r="I369" s="7">
        <v>1618.84</v>
      </c>
      <c r="J369" s="5">
        <v>0</v>
      </c>
      <c r="K369" s="5">
        <v>18</v>
      </c>
      <c r="L369" s="5" t="s">
        <v>22</v>
      </c>
      <c r="M369" s="7">
        <f t="shared" si="20"/>
        <v>22663.759999999998</v>
      </c>
      <c r="N369" s="7">
        <f t="shared" si="21"/>
        <v>0</v>
      </c>
      <c r="O369" s="7">
        <f t="shared" si="22"/>
        <v>4079.4767999999999</v>
      </c>
      <c r="P369" s="7">
        <f t="shared" si="23"/>
        <v>26743.236799999999</v>
      </c>
    </row>
    <row r="370" spans="1:16" x14ac:dyDescent="0.25">
      <c r="A370" s="2" t="s">
        <v>433</v>
      </c>
      <c r="B370" s="3">
        <v>45326</v>
      </c>
      <c r="C370" s="2" t="s">
        <v>24</v>
      </c>
      <c r="D370" s="2" t="s">
        <v>18</v>
      </c>
      <c r="E370" s="2" t="s">
        <v>35</v>
      </c>
      <c r="F370" s="2" t="s">
        <v>82</v>
      </c>
      <c r="G370" s="2" t="s">
        <v>21</v>
      </c>
      <c r="H370" s="2">
        <v>17</v>
      </c>
      <c r="I370" s="4">
        <v>646.29999999999995</v>
      </c>
      <c r="J370" s="2">
        <v>20</v>
      </c>
      <c r="K370" s="2">
        <v>18</v>
      </c>
      <c r="L370" s="2" t="s">
        <v>32</v>
      </c>
      <c r="M370" s="4">
        <f t="shared" si="20"/>
        <v>10987.099999999999</v>
      </c>
      <c r="N370" s="4">
        <f t="shared" si="21"/>
        <v>2197.4199999999996</v>
      </c>
      <c r="O370" s="4">
        <f t="shared" si="22"/>
        <v>1582.1423999999997</v>
      </c>
      <c r="P370" s="4">
        <f t="shared" si="23"/>
        <v>10371.822399999997</v>
      </c>
    </row>
    <row r="371" spans="1:16" x14ac:dyDescent="0.25">
      <c r="A371" s="5" t="s">
        <v>434</v>
      </c>
      <c r="B371" s="6">
        <v>45650</v>
      </c>
      <c r="C371" s="5" t="s">
        <v>24</v>
      </c>
      <c r="D371" s="5" t="s">
        <v>64</v>
      </c>
      <c r="E371" s="5" t="s">
        <v>19</v>
      </c>
      <c r="F371" s="5" t="s">
        <v>157</v>
      </c>
      <c r="G371" s="5" t="s">
        <v>55</v>
      </c>
      <c r="H371" s="5">
        <v>30</v>
      </c>
      <c r="I371" s="7">
        <v>1835.15</v>
      </c>
      <c r="J371" s="5">
        <v>0</v>
      </c>
      <c r="K371" s="5">
        <v>18</v>
      </c>
      <c r="L371" s="5" t="s">
        <v>32</v>
      </c>
      <c r="M371" s="7">
        <f t="shared" si="20"/>
        <v>55054.5</v>
      </c>
      <c r="N371" s="7">
        <f t="shared" si="21"/>
        <v>0</v>
      </c>
      <c r="O371" s="7">
        <f t="shared" si="22"/>
        <v>9909.81</v>
      </c>
      <c r="P371" s="7">
        <f t="shared" si="23"/>
        <v>64964.31</v>
      </c>
    </row>
    <row r="372" spans="1:16" x14ac:dyDescent="0.25">
      <c r="A372" s="2" t="s">
        <v>435</v>
      </c>
      <c r="B372" s="3">
        <v>45343</v>
      </c>
      <c r="C372" s="2" t="s">
        <v>24</v>
      </c>
      <c r="D372" s="2" t="s">
        <v>60</v>
      </c>
      <c r="E372" s="2" t="s">
        <v>29</v>
      </c>
      <c r="F372" s="2" t="s">
        <v>65</v>
      </c>
      <c r="G372" s="2" t="s">
        <v>31</v>
      </c>
      <c r="H372" s="2">
        <v>10</v>
      </c>
      <c r="I372" s="4">
        <v>1137.52</v>
      </c>
      <c r="J372" s="2">
        <v>15</v>
      </c>
      <c r="K372" s="2">
        <v>18</v>
      </c>
      <c r="L372" s="2" t="s">
        <v>22</v>
      </c>
      <c r="M372" s="4">
        <f t="shared" si="20"/>
        <v>11375.2</v>
      </c>
      <c r="N372" s="4">
        <f t="shared" si="21"/>
        <v>1706.28</v>
      </c>
      <c r="O372" s="4">
        <f t="shared" si="22"/>
        <v>1740.4056</v>
      </c>
      <c r="P372" s="4">
        <f t="shared" si="23"/>
        <v>11409.3256</v>
      </c>
    </row>
    <row r="373" spans="1:16" x14ac:dyDescent="0.25">
      <c r="A373" s="5" t="s">
        <v>436</v>
      </c>
      <c r="B373" s="6">
        <v>45584</v>
      </c>
      <c r="C373" s="5" t="s">
        <v>59</v>
      </c>
      <c r="D373" s="5" t="s">
        <v>43</v>
      </c>
      <c r="E373" s="5" t="s">
        <v>19</v>
      </c>
      <c r="F373" s="5" t="s">
        <v>26</v>
      </c>
      <c r="G373" s="5" t="s">
        <v>55</v>
      </c>
      <c r="H373" s="5">
        <v>17</v>
      </c>
      <c r="I373" s="7">
        <v>772.26</v>
      </c>
      <c r="J373" s="5">
        <v>10</v>
      </c>
      <c r="K373" s="5">
        <v>18</v>
      </c>
      <c r="L373" s="5" t="s">
        <v>49</v>
      </c>
      <c r="M373" s="7">
        <f t="shared" si="20"/>
        <v>13128.42</v>
      </c>
      <c r="N373" s="7">
        <f t="shared" si="21"/>
        <v>1312.8420000000001</v>
      </c>
      <c r="O373" s="7">
        <f t="shared" si="22"/>
        <v>2126.80404</v>
      </c>
      <c r="P373" s="7">
        <f t="shared" si="23"/>
        <v>13942.38204</v>
      </c>
    </row>
    <row r="374" spans="1:16" x14ac:dyDescent="0.25">
      <c r="A374" s="2" t="s">
        <v>437</v>
      </c>
      <c r="B374" s="3">
        <v>45647</v>
      </c>
      <c r="C374" s="2" t="s">
        <v>59</v>
      </c>
      <c r="D374" s="2" t="s">
        <v>34</v>
      </c>
      <c r="E374" s="2" t="s">
        <v>29</v>
      </c>
      <c r="F374" s="2" t="s">
        <v>74</v>
      </c>
      <c r="G374" s="2" t="s">
        <v>55</v>
      </c>
      <c r="H374" s="2">
        <v>10</v>
      </c>
      <c r="I374" s="4">
        <v>1240.31</v>
      </c>
      <c r="J374" s="2">
        <v>20</v>
      </c>
      <c r="K374" s="2">
        <v>18</v>
      </c>
      <c r="L374" s="2" t="s">
        <v>49</v>
      </c>
      <c r="M374" s="4">
        <f t="shared" si="20"/>
        <v>12403.099999999999</v>
      </c>
      <c r="N374" s="4">
        <f t="shared" si="21"/>
        <v>2480.62</v>
      </c>
      <c r="O374" s="4">
        <f t="shared" si="22"/>
        <v>1786.0463999999999</v>
      </c>
      <c r="P374" s="4">
        <f t="shared" si="23"/>
        <v>11708.526399999999</v>
      </c>
    </row>
    <row r="375" spans="1:16" x14ac:dyDescent="0.25">
      <c r="A375" s="5" t="s">
        <v>438</v>
      </c>
      <c r="B375" s="6">
        <v>45482</v>
      </c>
      <c r="C375" s="5" t="s">
        <v>24</v>
      </c>
      <c r="D375" s="5" t="s">
        <v>64</v>
      </c>
      <c r="E375" s="5" t="s">
        <v>35</v>
      </c>
      <c r="F375" s="5" t="s">
        <v>82</v>
      </c>
      <c r="G375" s="5" t="s">
        <v>21</v>
      </c>
      <c r="H375" s="5">
        <v>48</v>
      </c>
      <c r="I375" s="7">
        <v>955.68</v>
      </c>
      <c r="J375" s="5">
        <v>5</v>
      </c>
      <c r="K375" s="5">
        <v>18</v>
      </c>
      <c r="L375" s="5" t="s">
        <v>22</v>
      </c>
      <c r="M375" s="7">
        <f t="shared" si="20"/>
        <v>45872.639999999999</v>
      </c>
      <c r="N375" s="7">
        <f t="shared" si="21"/>
        <v>2293.6320000000001</v>
      </c>
      <c r="O375" s="7">
        <f t="shared" si="22"/>
        <v>7844.2214400000012</v>
      </c>
      <c r="P375" s="7">
        <f t="shared" si="23"/>
        <v>51423.229440000003</v>
      </c>
    </row>
    <row r="376" spans="1:16" x14ac:dyDescent="0.25">
      <c r="A376" s="2" t="s">
        <v>439</v>
      </c>
      <c r="B376" s="3">
        <v>45360</v>
      </c>
      <c r="C376" s="2" t="s">
        <v>17</v>
      </c>
      <c r="D376" s="2" t="s">
        <v>43</v>
      </c>
      <c r="E376" s="2" t="s">
        <v>19</v>
      </c>
      <c r="F376" s="2" t="s">
        <v>62</v>
      </c>
      <c r="G376" s="2" t="s">
        <v>55</v>
      </c>
      <c r="H376" s="2">
        <v>45</v>
      </c>
      <c r="I376" s="4">
        <v>1372.86</v>
      </c>
      <c r="J376" s="2">
        <v>0</v>
      </c>
      <c r="K376" s="2">
        <v>18</v>
      </c>
      <c r="L376" s="2" t="s">
        <v>49</v>
      </c>
      <c r="M376" s="4">
        <f t="shared" si="20"/>
        <v>61778.7</v>
      </c>
      <c r="N376" s="4">
        <f t="shared" si="21"/>
        <v>0</v>
      </c>
      <c r="O376" s="4">
        <f t="shared" si="22"/>
        <v>11120.165999999999</v>
      </c>
      <c r="P376" s="4">
        <f t="shared" si="23"/>
        <v>72898.865999999995</v>
      </c>
    </row>
    <row r="377" spans="1:16" x14ac:dyDescent="0.25">
      <c r="A377" s="5" t="s">
        <v>440</v>
      </c>
      <c r="B377" s="6">
        <v>45400</v>
      </c>
      <c r="C377" s="5" t="s">
        <v>17</v>
      </c>
      <c r="D377" s="5" t="s">
        <v>43</v>
      </c>
      <c r="E377" s="5" t="s">
        <v>38</v>
      </c>
      <c r="F377" s="5" t="s">
        <v>70</v>
      </c>
      <c r="G377" s="5" t="s">
        <v>31</v>
      </c>
      <c r="H377" s="5">
        <v>42</v>
      </c>
      <c r="I377" s="7">
        <v>187.68</v>
      </c>
      <c r="J377" s="5">
        <v>10</v>
      </c>
      <c r="K377" s="5">
        <v>18</v>
      </c>
      <c r="L377" s="5" t="s">
        <v>32</v>
      </c>
      <c r="M377" s="7">
        <f t="shared" si="20"/>
        <v>7882.56</v>
      </c>
      <c r="N377" s="7">
        <f t="shared" si="21"/>
        <v>788.25600000000009</v>
      </c>
      <c r="O377" s="7">
        <f t="shared" si="22"/>
        <v>1276.9747200000002</v>
      </c>
      <c r="P377" s="7">
        <f t="shared" si="23"/>
        <v>8371.2787200000002</v>
      </c>
    </row>
    <row r="378" spans="1:16" x14ac:dyDescent="0.25">
      <c r="A378" s="2" t="s">
        <v>441</v>
      </c>
      <c r="B378" s="3">
        <v>45361</v>
      </c>
      <c r="C378" s="2" t="s">
        <v>17</v>
      </c>
      <c r="D378" s="2" t="s">
        <v>25</v>
      </c>
      <c r="E378" s="2" t="s">
        <v>35</v>
      </c>
      <c r="F378" s="2" t="s">
        <v>76</v>
      </c>
      <c r="G378" s="2" t="s">
        <v>21</v>
      </c>
      <c r="H378" s="2">
        <v>20</v>
      </c>
      <c r="I378" s="4">
        <v>1422.04</v>
      </c>
      <c r="J378" s="2">
        <v>10</v>
      </c>
      <c r="K378" s="2">
        <v>18</v>
      </c>
      <c r="L378" s="2" t="s">
        <v>22</v>
      </c>
      <c r="M378" s="4">
        <f t="shared" si="20"/>
        <v>28440.799999999999</v>
      </c>
      <c r="N378" s="4">
        <f t="shared" si="21"/>
        <v>2844.08</v>
      </c>
      <c r="O378" s="4">
        <f t="shared" si="22"/>
        <v>4607.4096</v>
      </c>
      <c r="P378" s="4">
        <f t="shared" si="23"/>
        <v>30204.1296</v>
      </c>
    </row>
    <row r="379" spans="1:16" x14ac:dyDescent="0.25">
      <c r="A379" s="5" t="s">
        <v>442</v>
      </c>
      <c r="B379" s="6">
        <v>45317</v>
      </c>
      <c r="C379" s="5" t="s">
        <v>59</v>
      </c>
      <c r="D379" s="5" t="s">
        <v>34</v>
      </c>
      <c r="E379" s="5" t="s">
        <v>29</v>
      </c>
      <c r="F379" s="5" t="s">
        <v>65</v>
      </c>
      <c r="G379" s="5" t="s">
        <v>21</v>
      </c>
      <c r="H379" s="5">
        <v>4</v>
      </c>
      <c r="I379" s="7">
        <v>506.49</v>
      </c>
      <c r="J379" s="5">
        <v>10</v>
      </c>
      <c r="K379" s="5">
        <v>18</v>
      </c>
      <c r="L379" s="5" t="s">
        <v>22</v>
      </c>
      <c r="M379" s="7">
        <f t="shared" si="20"/>
        <v>2025.96</v>
      </c>
      <c r="N379" s="7">
        <f t="shared" si="21"/>
        <v>202.59599999999998</v>
      </c>
      <c r="O379" s="7">
        <f t="shared" si="22"/>
        <v>328.20552000000004</v>
      </c>
      <c r="P379" s="7">
        <f t="shared" si="23"/>
        <v>2151.56952</v>
      </c>
    </row>
    <row r="380" spans="1:16" x14ac:dyDescent="0.25">
      <c r="A380" s="2" t="s">
        <v>443</v>
      </c>
      <c r="B380" s="3">
        <v>45640</v>
      </c>
      <c r="C380" s="2" t="s">
        <v>17</v>
      </c>
      <c r="D380" s="2" t="s">
        <v>64</v>
      </c>
      <c r="E380" s="2" t="s">
        <v>38</v>
      </c>
      <c r="F380" s="2" t="s">
        <v>96</v>
      </c>
      <c r="G380" s="2" t="s">
        <v>31</v>
      </c>
      <c r="H380" s="2">
        <v>26</v>
      </c>
      <c r="I380" s="4">
        <v>1274.47</v>
      </c>
      <c r="J380" s="2">
        <v>0</v>
      </c>
      <c r="K380" s="2">
        <v>18</v>
      </c>
      <c r="L380" s="2" t="s">
        <v>32</v>
      </c>
      <c r="M380" s="4">
        <f t="shared" si="20"/>
        <v>33136.22</v>
      </c>
      <c r="N380" s="4">
        <f t="shared" si="21"/>
        <v>0</v>
      </c>
      <c r="O380" s="4">
        <f t="shared" si="22"/>
        <v>5964.5195999999996</v>
      </c>
      <c r="P380" s="4">
        <f t="shared" si="23"/>
        <v>39100.739600000001</v>
      </c>
    </row>
    <row r="381" spans="1:16" x14ac:dyDescent="0.25">
      <c r="A381" s="5" t="s">
        <v>444</v>
      </c>
      <c r="B381" s="6">
        <v>45468</v>
      </c>
      <c r="C381" s="5" t="s">
        <v>17</v>
      </c>
      <c r="D381" s="5" t="s">
        <v>52</v>
      </c>
      <c r="E381" s="5" t="s">
        <v>19</v>
      </c>
      <c r="F381" s="5" t="s">
        <v>57</v>
      </c>
      <c r="G381" s="5" t="s">
        <v>31</v>
      </c>
      <c r="H381" s="5">
        <v>31</v>
      </c>
      <c r="I381" s="7">
        <v>1177.8900000000001</v>
      </c>
      <c r="J381" s="5">
        <v>5</v>
      </c>
      <c r="K381" s="5">
        <v>18</v>
      </c>
      <c r="L381" s="5" t="s">
        <v>22</v>
      </c>
      <c r="M381" s="7">
        <f t="shared" si="20"/>
        <v>36514.590000000004</v>
      </c>
      <c r="N381" s="7">
        <f t="shared" si="21"/>
        <v>1825.7295000000001</v>
      </c>
      <c r="O381" s="7">
        <f t="shared" si="22"/>
        <v>6243.9948900000009</v>
      </c>
      <c r="P381" s="7">
        <f t="shared" si="23"/>
        <v>40932.855390000004</v>
      </c>
    </row>
    <row r="382" spans="1:16" x14ac:dyDescent="0.25">
      <c r="A382" s="2" t="s">
        <v>445</v>
      </c>
      <c r="B382" s="3">
        <v>45401</v>
      </c>
      <c r="C382" s="2" t="s">
        <v>59</v>
      </c>
      <c r="D382" s="2" t="s">
        <v>43</v>
      </c>
      <c r="E382" s="2" t="s">
        <v>44</v>
      </c>
      <c r="F382" s="2" t="s">
        <v>93</v>
      </c>
      <c r="G382" s="2" t="s">
        <v>27</v>
      </c>
      <c r="H382" s="2">
        <v>4</v>
      </c>
      <c r="I382" s="4">
        <v>334.19</v>
      </c>
      <c r="J382" s="2">
        <v>15</v>
      </c>
      <c r="K382" s="2">
        <v>18</v>
      </c>
      <c r="L382" s="2" t="s">
        <v>49</v>
      </c>
      <c r="M382" s="4">
        <f t="shared" si="20"/>
        <v>1336.76</v>
      </c>
      <c r="N382" s="4">
        <f t="shared" si="21"/>
        <v>200.51400000000001</v>
      </c>
      <c r="O382" s="4">
        <f t="shared" si="22"/>
        <v>204.52428</v>
      </c>
      <c r="P382" s="4">
        <f t="shared" si="23"/>
        <v>1340.7702800000002</v>
      </c>
    </row>
    <row r="383" spans="1:16" x14ac:dyDescent="0.25">
      <c r="A383" s="5" t="s">
        <v>446</v>
      </c>
      <c r="B383" s="6">
        <v>45296</v>
      </c>
      <c r="C383" s="5" t="s">
        <v>47</v>
      </c>
      <c r="D383" s="5" t="s">
        <v>43</v>
      </c>
      <c r="E383" s="5" t="s">
        <v>44</v>
      </c>
      <c r="F383" s="5" t="s">
        <v>78</v>
      </c>
      <c r="G383" s="5" t="s">
        <v>31</v>
      </c>
      <c r="H383" s="5">
        <v>2</v>
      </c>
      <c r="I383" s="7">
        <v>1730.61</v>
      </c>
      <c r="J383" s="5">
        <v>20</v>
      </c>
      <c r="K383" s="5">
        <v>18</v>
      </c>
      <c r="L383" s="5" t="s">
        <v>32</v>
      </c>
      <c r="M383" s="7">
        <f t="shared" si="20"/>
        <v>3461.22</v>
      </c>
      <c r="N383" s="7">
        <f t="shared" si="21"/>
        <v>692.24399999999991</v>
      </c>
      <c r="O383" s="7">
        <f t="shared" si="22"/>
        <v>498.4156799999999</v>
      </c>
      <c r="P383" s="7">
        <f t="shared" si="23"/>
        <v>3267.3916799999997</v>
      </c>
    </row>
    <row r="384" spans="1:16" x14ac:dyDescent="0.25">
      <c r="A384" s="2" t="s">
        <v>447</v>
      </c>
      <c r="B384" s="3">
        <v>45656</v>
      </c>
      <c r="C384" s="2" t="s">
        <v>47</v>
      </c>
      <c r="D384" s="2" t="s">
        <v>25</v>
      </c>
      <c r="E384" s="2" t="s">
        <v>35</v>
      </c>
      <c r="F384" s="2" t="s">
        <v>88</v>
      </c>
      <c r="G384" s="2" t="s">
        <v>21</v>
      </c>
      <c r="H384" s="2">
        <v>39</v>
      </c>
      <c r="I384" s="4">
        <v>1612.12</v>
      </c>
      <c r="J384" s="2">
        <v>5</v>
      </c>
      <c r="K384" s="2">
        <v>18</v>
      </c>
      <c r="L384" s="2" t="s">
        <v>22</v>
      </c>
      <c r="M384" s="4">
        <f t="shared" si="20"/>
        <v>62872.679999999993</v>
      </c>
      <c r="N384" s="4">
        <f t="shared" si="21"/>
        <v>3143.6339999999996</v>
      </c>
      <c r="O384" s="4">
        <f t="shared" si="22"/>
        <v>10751.228279999999</v>
      </c>
      <c r="P384" s="4">
        <f t="shared" si="23"/>
        <v>70480.274279999998</v>
      </c>
    </row>
    <row r="385" spans="1:16" x14ac:dyDescent="0.25">
      <c r="A385" s="5" t="s">
        <v>448</v>
      </c>
      <c r="B385" s="6">
        <v>45558</v>
      </c>
      <c r="C385" s="5" t="s">
        <v>24</v>
      </c>
      <c r="D385" s="5" t="s">
        <v>64</v>
      </c>
      <c r="E385" s="5" t="s">
        <v>38</v>
      </c>
      <c r="F385" s="5" t="s">
        <v>70</v>
      </c>
      <c r="G385" s="5" t="s">
        <v>31</v>
      </c>
      <c r="H385" s="5">
        <v>14</v>
      </c>
      <c r="I385" s="7">
        <v>938.73</v>
      </c>
      <c r="J385" s="5">
        <v>20</v>
      </c>
      <c r="K385" s="5">
        <v>18</v>
      </c>
      <c r="L385" s="5" t="s">
        <v>22</v>
      </c>
      <c r="M385" s="7">
        <f t="shared" si="20"/>
        <v>13142.220000000001</v>
      </c>
      <c r="N385" s="7">
        <f t="shared" si="21"/>
        <v>2628.4440000000004</v>
      </c>
      <c r="O385" s="7">
        <f t="shared" si="22"/>
        <v>1892.4796800000001</v>
      </c>
      <c r="P385" s="7">
        <f t="shared" si="23"/>
        <v>12406.255680000002</v>
      </c>
    </row>
    <row r="386" spans="1:16" x14ac:dyDescent="0.25">
      <c r="A386" s="2" t="s">
        <v>449</v>
      </c>
      <c r="B386" s="3">
        <v>45444</v>
      </c>
      <c r="C386" s="2" t="s">
        <v>59</v>
      </c>
      <c r="D386" s="2" t="s">
        <v>25</v>
      </c>
      <c r="E386" s="2" t="s">
        <v>29</v>
      </c>
      <c r="F386" s="2" t="s">
        <v>74</v>
      </c>
      <c r="G386" s="2" t="s">
        <v>55</v>
      </c>
      <c r="H386" s="2">
        <v>42</v>
      </c>
      <c r="I386" s="4">
        <v>1191.6099999999999</v>
      </c>
      <c r="J386" s="2">
        <v>5</v>
      </c>
      <c r="K386" s="2">
        <v>18</v>
      </c>
      <c r="L386" s="2" t="s">
        <v>32</v>
      </c>
      <c r="M386" s="4">
        <f t="shared" ref="M386:M449" si="24">H386*I386</f>
        <v>50047.619999999995</v>
      </c>
      <c r="N386" s="4">
        <f t="shared" ref="N386:N449" si="25">M386*J386/100</f>
        <v>2502.3809999999999</v>
      </c>
      <c r="O386" s="4">
        <f t="shared" ref="O386:O449" si="26">(M386-N386)*K386/100</f>
        <v>8558.1430199999995</v>
      </c>
      <c r="P386" s="4">
        <f t="shared" ref="P386:P449" si="27">M386-N386+O386</f>
        <v>56103.38201999999</v>
      </c>
    </row>
    <row r="387" spans="1:16" x14ac:dyDescent="0.25">
      <c r="A387" s="5" t="s">
        <v>450</v>
      </c>
      <c r="B387" s="6">
        <v>45625</v>
      </c>
      <c r="C387" s="5" t="s">
        <v>59</v>
      </c>
      <c r="D387" s="5" t="s">
        <v>64</v>
      </c>
      <c r="E387" s="5" t="s">
        <v>19</v>
      </c>
      <c r="F387" s="5" t="s">
        <v>157</v>
      </c>
      <c r="G387" s="5" t="s">
        <v>55</v>
      </c>
      <c r="H387" s="5">
        <v>18</v>
      </c>
      <c r="I387" s="7">
        <v>529.67999999999995</v>
      </c>
      <c r="J387" s="5">
        <v>20</v>
      </c>
      <c r="K387" s="5">
        <v>18</v>
      </c>
      <c r="L387" s="5" t="s">
        <v>22</v>
      </c>
      <c r="M387" s="7">
        <f t="shared" si="24"/>
        <v>9534.24</v>
      </c>
      <c r="N387" s="7">
        <f t="shared" si="25"/>
        <v>1906.848</v>
      </c>
      <c r="O387" s="7">
        <f t="shared" si="26"/>
        <v>1372.9305599999998</v>
      </c>
      <c r="P387" s="7">
        <f t="shared" si="27"/>
        <v>9000.3225600000005</v>
      </c>
    </row>
    <row r="388" spans="1:16" x14ac:dyDescent="0.25">
      <c r="A388" s="2" t="s">
        <v>451</v>
      </c>
      <c r="B388" s="3">
        <v>45363</v>
      </c>
      <c r="C388" s="2" t="s">
        <v>47</v>
      </c>
      <c r="D388" s="2" t="s">
        <v>18</v>
      </c>
      <c r="E388" s="2" t="s">
        <v>38</v>
      </c>
      <c r="F388" s="2" t="s">
        <v>96</v>
      </c>
      <c r="G388" s="2" t="s">
        <v>27</v>
      </c>
      <c r="H388" s="2">
        <v>26</v>
      </c>
      <c r="I388" s="4">
        <v>1324.46</v>
      </c>
      <c r="J388" s="2">
        <v>20</v>
      </c>
      <c r="K388" s="2">
        <v>18</v>
      </c>
      <c r="L388" s="2" t="s">
        <v>32</v>
      </c>
      <c r="M388" s="4">
        <f t="shared" si="24"/>
        <v>34435.96</v>
      </c>
      <c r="N388" s="4">
        <f t="shared" si="25"/>
        <v>6887.1919999999991</v>
      </c>
      <c r="O388" s="4">
        <f t="shared" si="26"/>
        <v>4958.7782400000006</v>
      </c>
      <c r="P388" s="4">
        <f t="shared" si="27"/>
        <v>32507.54624</v>
      </c>
    </row>
    <row r="389" spans="1:16" x14ac:dyDescent="0.25">
      <c r="A389" s="5" t="s">
        <v>452</v>
      </c>
      <c r="B389" s="6">
        <v>45654</v>
      </c>
      <c r="C389" s="5" t="s">
        <v>17</v>
      </c>
      <c r="D389" s="5" t="s">
        <v>43</v>
      </c>
      <c r="E389" s="5" t="s">
        <v>19</v>
      </c>
      <c r="F389" s="5" t="s">
        <v>157</v>
      </c>
      <c r="G389" s="5" t="s">
        <v>31</v>
      </c>
      <c r="H389" s="5">
        <v>25</v>
      </c>
      <c r="I389" s="7">
        <v>1476.1</v>
      </c>
      <c r="J389" s="5">
        <v>15</v>
      </c>
      <c r="K389" s="5">
        <v>18</v>
      </c>
      <c r="L389" s="5" t="s">
        <v>49</v>
      </c>
      <c r="M389" s="7">
        <f t="shared" si="24"/>
        <v>36902.5</v>
      </c>
      <c r="N389" s="7">
        <f t="shared" si="25"/>
        <v>5535.375</v>
      </c>
      <c r="O389" s="7">
        <f t="shared" si="26"/>
        <v>5646.0825000000004</v>
      </c>
      <c r="P389" s="7">
        <f t="shared" si="27"/>
        <v>37013.207500000004</v>
      </c>
    </row>
    <row r="390" spans="1:16" x14ac:dyDescent="0.25">
      <c r="A390" s="2" t="s">
        <v>453</v>
      </c>
      <c r="B390" s="3">
        <v>45628</v>
      </c>
      <c r="C390" s="2" t="s">
        <v>17</v>
      </c>
      <c r="D390" s="2" t="s">
        <v>18</v>
      </c>
      <c r="E390" s="2" t="s">
        <v>29</v>
      </c>
      <c r="F390" s="2" t="s">
        <v>30</v>
      </c>
      <c r="G390" s="2" t="s">
        <v>31</v>
      </c>
      <c r="H390" s="2">
        <v>33</v>
      </c>
      <c r="I390" s="4">
        <v>607.39</v>
      </c>
      <c r="J390" s="2">
        <v>0</v>
      </c>
      <c r="K390" s="2">
        <v>18</v>
      </c>
      <c r="L390" s="2" t="s">
        <v>22</v>
      </c>
      <c r="M390" s="4">
        <f t="shared" si="24"/>
        <v>20043.87</v>
      </c>
      <c r="N390" s="4">
        <f t="shared" si="25"/>
        <v>0</v>
      </c>
      <c r="O390" s="4">
        <f t="shared" si="26"/>
        <v>3607.8965999999996</v>
      </c>
      <c r="P390" s="4">
        <f t="shared" si="27"/>
        <v>23651.766599999999</v>
      </c>
    </row>
    <row r="391" spans="1:16" x14ac:dyDescent="0.25">
      <c r="A391" s="5" t="s">
        <v>454</v>
      </c>
      <c r="B391" s="6">
        <v>45385</v>
      </c>
      <c r="C391" s="5" t="s">
        <v>17</v>
      </c>
      <c r="D391" s="5" t="s">
        <v>60</v>
      </c>
      <c r="E391" s="5" t="s">
        <v>29</v>
      </c>
      <c r="F391" s="5" t="s">
        <v>30</v>
      </c>
      <c r="G391" s="5" t="s">
        <v>31</v>
      </c>
      <c r="H391" s="5">
        <v>48</v>
      </c>
      <c r="I391" s="7">
        <v>524.72</v>
      </c>
      <c r="J391" s="5">
        <v>15</v>
      </c>
      <c r="K391" s="5">
        <v>18</v>
      </c>
      <c r="L391" s="5" t="s">
        <v>22</v>
      </c>
      <c r="M391" s="7">
        <f t="shared" si="24"/>
        <v>25186.560000000001</v>
      </c>
      <c r="N391" s="7">
        <f t="shared" si="25"/>
        <v>3777.9840000000004</v>
      </c>
      <c r="O391" s="7">
        <f t="shared" si="26"/>
        <v>3853.5436800000002</v>
      </c>
      <c r="P391" s="7">
        <f t="shared" si="27"/>
        <v>25262.11968</v>
      </c>
    </row>
    <row r="392" spans="1:16" x14ac:dyDescent="0.25">
      <c r="A392" s="2" t="s">
        <v>455</v>
      </c>
      <c r="B392" s="3">
        <v>45482</v>
      </c>
      <c r="C392" s="2" t="s">
        <v>47</v>
      </c>
      <c r="D392" s="2" t="s">
        <v>64</v>
      </c>
      <c r="E392" s="2" t="s">
        <v>38</v>
      </c>
      <c r="F392" s="2" t="s">
        <v>48</v>
      </c>
      <c r="G392" s="2" t="s">
        <v>21</v>
      </c>
      <c r="H392" s="2">
        <v>27</v>
      </c>
      <c r="I392" s="4">
        <v>1578.3</v>
      </c>
      <c r="J392" s="2">
        <v>5</v>
      </c>
      <c r="K392" s="2">
        <v>18</v>
      </c>
      <c r="L392" s="2" t="s">
        <v>22</v>
      </c>
      <c r="M392" s="4">
        <f t="shared" si="24"/>
        <v>42614.1</v>
      </c>
      <c r="N392" s="4">
        <f t="shared" si="25"/>
        <v>2130.7049999999999</v>
      </c>
      <c r="O392" s="4">
        <f t="shared" si="26"/>
        <v>7287.0110999999997</v>
      </c>
      <c r="P392" s="4">
        <f t="shared" si="27"/>
        <v>47770.406099999993</v>
      </c>
    </row>
    <row r="393" spans="1:16" x14ac:dyDescent="0.25">
      <c r="A393" s="5" t="s">
        <v>456</v>
      </c>
      <c r="B393" s="6">
        <v>45589</v>
      </c>
      <c r="C393" s="5" t="s">
        <v>17</v>
      </c>
      <c r="D393" s="5" t="s">
        <v>52</v>
      </c>
      <c r="E393" s="5" t="s">
        <v>38</v>
      </c>
      <c r="F393" s="5" t="s">
        <v>39</v>
      </c>
      <c r="G393" s="5" t="s">
        <v>27</v>
      </c>
      <c r="H393" s="5">
        <v>4</v>
      </c>
      <c r="I393" s="7">
        <v>1734.12</v>
      </c>
      <c r="J393" s="5">
        <v>15</v>
      </c>
      <c r="K393" s="5">
        <v>18</v>
      </c>
      <c r="L393" s="5" t="s">
        <v>49</v>
      </c>
      <c r="M393" s="7">
        <f t="shared" si="24"/>
        <v>6936.48</v>
      </c>
      <c r="N393" s="7">
        <f t="shared" si="25"/>
        <v>1040.472</v>
      </c>
      <c r="O393" s="7">
        <f t="shared" si="26"/>
        <v>1061.28144</v>
      </c>
      <c r="P393" s="7">
        <f t="shared" si="27"/>
        <v>6957.2894399999996</v>
      </c>
    </row>
    <row r="394" spans="1:16" x14ac:dyDescent="0.25">
      <c r="A394" s="2" t="s">
        <v>457</v>
      </c>
      <c r="B394" s="3">
        <v>45369</v>
      </c>
      <c r="C394" s="2" t="s">
        <v>24</v>
      </c>
      <c r="D394" s="2" t="s">
        <v>18</v>
      </c>
      <c r="E394" s="2" t="s">
        <v>29</v>
      </c>
      <c r="F394" s="2" t="s">
        <v>80</v>
      </c>
      <c r="G394" s="2" t="s">
        <v>27</v>
      </c>
      <c r="H394" s="2">
        <v>34</v>
      </c>
      <c r="I394" s="4">
        <v>603.73</v>
      </c>
      <c r="J394" s="2">
        <v>0</v>
      </c>
      <c r="K394" s="2">
        <v>18</v>
      </c>
      <c r="L394" s="2" t="s">
        <v>49</v>
      </c>
      <c r="M394" s="4">
        <f t="shared" si="24"/>
        <v>20526.82</v>
      </c>
      <c r="N394" s="4">
        <f t="shared" si="25"/>
        <v>0</v>
      </c>
      <c r="O394" s="4">
        <f t="shared" si="26"/>
        <v>3694.8276000000001</v>
      </c>
      <c r="P394" s="4">
        <f t="shared" si="27"/>
        <v>24221.6476</v>
      </c>
    </row>
    <row r="395" spans="1:16" x14ac:dyDescent="0.25">
      <c r="A395" s="5" t="s">
        <v>458</v>
      </c>
      <c r="B395" s="6">
        <v>45333</v>
      </c>
      <c r="C395" s="5" t="s">
        <v>17</v>
      </c>
      <c r="D395" s="5" t="s">
        <v>54</v>
      </c>
      <c r="E395" s="5" t="s">
        <v>44</v>
      </c>
      <c r="F395" s="5" t="s">
        <v>78</v>
      </c>
      <c r="G395" s="5" t="s">
        <v>31</v>
      </c>
      <c r="H395" s="5">
        <v>21</v>
      </c>
      <c r="I395" s="7">
        <v>1726.16</v>
      </c>
      <c r="J395" s="5">
        <v>0</v>
      </c>
      <c r="K395" s="5">
        <v>18</v>
      </c>
      <c r="L395" s="5" t="s">
        <v>22</v>
      </c>
      <c r="M395" s="7">
        <f t="shared" si="24"/>
        <v>36249.360000000001</v>
      </c>
      <c r="N395" s="7">
        <f t="shared" si="25"/>
        <v>0</v>
      </c>
      <c r="O395" s="7">
        <f t="shared" si="26"/>
        <v>6524.8847999999998</v>
      </c>
      <c r="P395" s="7">
        <f t="shared" si="27"/>
        <v>42774.2448</v>
      </c>
    </row>
    <row r="396" spans="1:16" x14ac:dyDescent="0.25">
      <c r="A396" s="2" t="s">
        <v>459</v>
      </c>
      <c r="B396" s="3">
        <v>45587</v>
      </c>
      <c r="C396" s="2" t="s">
        <v>47</v>
      </c>
      <c r="D396" s="2" t="s">
        <v>64</v>
      </c>
      <c r="E396" s="2" t="s">
        <v>35</v>
      </c>
      <c r="F396" s="2" t="s">
        <v>36</v>
      </c>
      <c r="G396" s="2" t="s">
        <v>27</v>
      </c>
      <c r="H396" s="2">
        <v>29</v>
      </c>
      <c r="I396" s="4">
        <v>554.32000000000005</v>
      </c>
      <c r="J396" s="2">
        <v>0</v>
      </c>
      <c r="K396" s="2">
        <v>18</v>
      </c>
      <c r="L396" s="2" t="s">
        <v>22</v>
      </c>
      <c r="M396" s="4">
        <f t="shared" si="24"/>
        <v>16075.28</v>
      </c>
      <c r="N396" s="4">
        <f t="shared" si="25"/>
        <v>0</v>
      </c>
      <c r="O396" s="4">
        <f t="shared" si="26"/>
        <v>2893.5504000000005</v>
      </c>
      <c r="P396" s="4">
        <f t="shared" si="27"/>
        <v>18968.830400000003</v>
      </c>
    </row>
    <row r="397" spans="1:16" x14ac:dyDescent="0.25">
      <c r="A397" s="5" t="s">
        <v>460</v>
      </c>
      <c r="B397" s="6">
        <v>45488</v>
      </c>
      <c r="C397" s="5" t="s">
        <v>59</v>
      </c>
      <c r="D397" s="5" t="s">
        <v>34</v>
      </c>
      <c r="E397" s="5" t="s">
        <v>44</v>
      </c>
      <c r="F397" s="5" t="s">
        <v>91</v>
      </c>
      <c r="G397" s="5" t="s">
        <v>31</v>
      </c>
      <c r="H397" s="5">
        <v>26</v>
      </c>
      <c r="I397" s="7">
        <v>863.76</v>
      </c>
      <c r="J397" s="5">
        <v>10</v>
      </c>
      <c r="K397" s="5">
        <v>18</v>
      </c>
      <c r="L397" s="5" t="s">
        <v>49</v>
      </c>
      <c r="M397" s="7">
        <f t="shared" si="24"/>
        <v>22457.759999999998</v>
      </c>
      <c r="N397" s="7">
        <f t="shared" si="25"/>
        <v>2245.7759999999998</v>
      </c>
      <c r="O397" s="7">
        <f t="shared" si="26"/>
        <v>3638.1571199999994</v>
      </c>
      <c r="P397" s="7">
        <f t="shared" si="27"/>
        <v>23850.141119999997</v>
      </c>
    </row>
    <row r="398" spans="1:16" x14ac:dyDescent="0.25">
      <c r="A398" s="2" t="s">
        <v>461</v>
      </c>
      <c r="B398" s="3">
        <v>45301</v>
      </c>
      <c r="C398" s="2" t="s">
        <v>47</v>
      </c>
      <c r="D398" s="2" t="s">
        <v>64</v>
      </c>
      <c r="E398" s="2" t="s">
        <v>19</v>
      </c>
      <c r="F398" s="2" t="s">
        <v>20</v>
      </c>
      <c r="G398" s="2" t="s">
        <v>27</v>
      </c>
      <c r="H398" s="2">
        <v>49</v>
      </c>
      <c r="I398" s="4">
        <v>1668.13</v>
      </c>
      <c r="J398" s="2">
        <v>0</v>
      </c>
      <c r="K398" s="2">
        <v>18</v>
      </c>
      <c r="L398" s="2" t="s">
        <v>22</v>
      </c>
      <c r="M398" s="4">
        <f t="shared" si="24"/>
        <v>81738.37000000001</v>
      </c>
      <c r="N398" s="4">
        <f t="shared" si="25"/>
        <v>0</v>
      </c>
      <c r="O398" s="4">
        <f t="shared" si="26"/>
        <v>14712.906600000002</v>
      </c>
      <c r="P398" s="4">
        <f t="shared" si="27"/>
        <v>96451.276600000012</v>
      </c>
    </row>
    <row r="399" spans="1:16" x14ac:dyDescent="0.25">
      <c r="A399" s="5" t="s">
        <v>462</v>
      </c>
      <c r="B399" s="6">
        <v>45448</v>
      </c>
      <c r="C399" s="5" t="s">
        <v>47</v>
      </c>
      <c r="D399" s="5" t="s">
        <v>64</v>
      </c>
      <c r="E399" s="5" t="s">
        <v>19</v>
      </c>
      <c r="F399" s="5" t="s">
        <v>57</v>
      </c>
      <c r="G399" s="5" t="s">
        <v>55</v>
      </c>
      <c r="H399" s="5">
        <v>7</v>
      </c>
      <c r="I399" s="7">
        <v>773.27</v>
      </c>
      <c r="J399" s="5">
        <v>15</v>
      </c>
      <c r="K399" s="5">
        <v>18</v>
      </c>
      <c r="L399" s="5" t="s">
        <v>22</v>
      </c>
      <c r="M399" s="7">
        <f t="shared" si="24"/>
        <v>5412.8899999999994</v>
      </c>
      <c r="N399" s="7">
        <f t="shared" si="25"/>
        <v>811.93349999999987</v>
      </c>
      <c r="O399" s="7">
        <f t="shared" si="26"/>
        <v>828.17216999999994</v>
      </c>
      <c r="P399" s="7">
        <f t="shared" si="27"/>
        <v>5429.1286699999991</v>
      </c>
    </row>
    <row r="400" spans="1:16" x14ac:dyDescent="0.25">
      <c r="A400" s="2" t="s">
        <v>463</v>
      </c>
      <c r="B400" s="3">
        <v>45464</v>
      </c>
      <c r="C400" s="2" t="s">
        <v>59</v>
      </c>
      <c r="D400" s="2" t="s">
        <v>43</v>
      </c>
      <c r="E400" s="2" t="s">
        <v>44</v>
      </c>
      <c r="F400" s="2" t="s">
        <v>45</v>
      </c>
      <c r="G400" s="2" t="s">
        <v>55</v>
      </c>
      <c r="H400" s="2">
        <v>47</v>
      </c>
      <c r="I400" s="4">
        <v>1045.3699999999999</v>
      </c>
      <c r="J400" s="2">
        <v>15</v>
      </c>
      <c r="K400" s="2">
        <v>18</v>
      </c>
      <c r="L400" s="2" t="s">
        <v>49</v>
      </c>
      <c r="M400" s="4">
        <f t="shared" si="24"/>
        <v>49132.389999999992</v>
      </c>
      <c r="N400" s="4">
        <f t="shared" si="25"/>
        <v>7369.8584999999985</v>
      </c>
      <c r="O400" s="4">
        <f t="shared" si="26"/>
        <v>7517.2556699999996</v>
      </c>
      <c r="P400" s="4">
        <f t="shared" si="27"/>
        <v>49279.787169999996</v>
      </c>
    </row>
    <row r="401" spans="1:16" x14ac:dyDescent="0.25">
      <c r="A401" s="5" t="s">
        <v>464</v>
      </c>
      <c r="B401" s="6">
        <v>45301</v>
      </c>
      <c r="C401" s="5" t="s">
        <v>17</v>
      </c>
      <c r="D401" s="5" t="s">
        <v>52</v>
      </c>
      <c r="E401" s="5" t="s">
        <v>35</v>
      </c>
      <c r="F401" s="5" t="s">
        <v>88</v>
      </c>
      <c r="G401" s="5" t="s">
        <v>55</v>
      </c>
      <c r="H401" s="5">
        <v>11</v>
      </c>
      <c r="I401" s="7">
        <v>1896.69</v>
      </c>
      <c r="J401" s="5">
        <v>10</v>
      </c>
      <c r="K401" s="5">
        <v>18</v>
      </c>
      <c r="L401" s="5" t="s">
        <v>22</v>
      </c>
      <c r="M401" s="7">
        <f t="shared" si="24"/>
        <v>20863.59</v>
      </c>
      <c r="N401" s="7">
        <f t="shared" si="25"/>
        <v>2086.3589999999999</v>
      </c>
      <c r="O401" s="7">
        <f t="shared" si="26"/>
        <v>3379.9015799999997</v>
      </c>
      <c r="P401" s="7">
        <f t="shared" si="27"/>
        <v>22157.132579999998</v>
      </c>
    </row>
    <row r="402" spans="1:16" x14ac:dyDescent="0.25">
      <c r="A402" s="2" t="s">
        <v>465</v>
      </c>
      <c r="B402" s="3">
        <v>45656</v>
      </c>
      <c r="C402" s="2" t="s">
        <v>47</v>
      </c>
      <c r="D402" s="2" t="s">
        <v>18</v>
      </c>
      <c r="E402" s="2" t="s">
        <v>44</v>
      </c>
      <c r="F402" s="2" t="s">
        <v>78</v>
      </c>
      <c r="G402" s="2" t="s">
        <v>27</v>
      </c>
      <c r="H402" s="2">
        <v>33</v>
      </c>
      <c r="I402" s="4">
        <v>346.28</v>
      </c>
      <c r="J402" s="2">
        <v>5</v>
      </c>
      <c r="K402" s="2">
        <v>18</v>
      </c>
      <c r="L402" s="2" t="s">
        <v>32</v>
      </c>
      <c r="M402" s="4">
        <f t="shared" si="24"/>
        <v>11427.24</v>
      </c>
      <c r="N402" s="4">
        <f t="shared" si="25"/>
        <v>571.36199999999997</v>
      </c>
      <c r="O402" s="4">
        <f t="shared" si="26"/>
        <v>1954.0580400000001</v>
      </c>
      <c r="P402" s="4">
        <f t="shared" si="27"/>
        <v>12809.936040000001</v>
      </c>
    </row>
    <row r="403" spans="1:16" x14ac:dyDescent="0.25">
      <c r="A403" s="5" t="s">
        <v>466</v>
      </c>
      <c r="B403" s="6">
        <v>45645</v>
      </c>
      <c r="C403" s="5" t="s">
        <v>17</v>
      </c>
      <c r="D403" s="5" t="s">
        <v>25</v>
      </c>
      <c r="E403" s="5" t="s">
        <v>19</v>
      </c>
      <c r="F403" s="5" t="s">
        <v>157</v>
      </c>
      <c r="G403" s="5" t="s">
        <v>27</v>
      </c>
      <c r="H403" s="5">
        <v>42</v>
      </c>
      <c r="I403" s="7">
        <v>1673.88</v>
      </c>
      <c r="J403" s="5">
        <v>0</v>
      </c>
      <c r="K403" s="5">
        <v>18</v>
      </c>
      <c r="L403" s="5" t="s">
        <v>22</v>
      </c>
      <c r="M403" s="7">
        <f t="shared" si="24"/>
        <v>70302.960000000006</v>
      </c>
      <c r="N403" s="7">
        <f t="shared" si="25"/>
        <v>0</v>
      </c>
      <c r="O403" s="7">
        <f t="shared" si="26"/>
        <v>12654.532800000001</v>
      </c>
      <c r="P403" s="7">
        <f t="shared" si="27"/>
        <v>82957.492800000007</v>
      </c>
    </row>
    <row r="404" spans="1:16" x14ac:dyDescent="0.25">
      <c r="A404" s="2" t="s">
        <v>467</v>
      </c>
      <c r="B404" s="3">
        <v>45397</v>
      </c>
      <c r="C404" s="2" t="s">
        <v>24</v>
      </c>
      <c r="D404" s="2" t="s">
        <v>54</v>
      </c>
      <c r="E404" s="2" t="s">
        <v>19</v>
      </c>
      <c r="F404" s="2" t="s">
        <v>157</v>
      </c>
      <c r="G404" s="2" t="s">
        <v>27</v>
      </c>
      <c r="H404" s="2">
        <v>17</v>
      </c>
      <c r="I404" s="4">
        <v>954.05</v>
      </c>
      <c r="J404" s="2">
        <v>0</v>
      </c>
      <c r="K404" s="2">
        <v>18</v>
      </c>
      <c r="L404" s="2" t="s">
        <v>32</v>
      </c>
      <c r="M404" s="4">
        <f t="shared" si="24"/>
        <v>16218.849999999999</v>
      </c>
      <c r="N404" s="4">
        <f t="shared" si="25"/>
        <v>0</v>
      </c>
      <c r="O404" s="4">
        <f t="shared" si="26"/>
        <v>2919.393</v>
      </c>
      <c r="P404" s="4">
        <f t="shared" si="27"/>
        <v>19138.242999999999</v>
      </c>
    </row>
    <row r="405" spans="1:16" x14ac:dyDescent="0.25">
      <c r="A405" s="5" t="s">
        <v>468</v>
      </c>
      <c r="B405" s="6">
        <v>45345</v>
      </c>
      <c r="C405" s="5" t="s">
        <v>24</v>
      </c>
      <c r="D405" s="5" t="s">
        <v>60</v>
      </c>
      <c r="E405" s="5" t="s">
        <v>19</v>
      </c>
      <c r="F405" s="5" t="s">
        <v>62</v>
      </c>
      <c r="G405" s="5" t="s">
        <v>55</v>
      </c>
      <c r="H405" s="5">
        <v>39</v>
      </c>
      <c r="I405" s="7">
        <v>1404.45</v>
      </c>
      <c r="J405" s="5">
        <v>10</v>
      </c>
      <c r="K405" s="5">
        <v>18</v>
      </c>
      <c r="L405" s="5" t="s">
        <v>32</v>
      </c>
      <c r="M405" s="7">
        <f t="shared" si="24"/>
        <v>54773.55</v>
      </c>
      <c r="N405" s="7">
        <f t="shared" si="25"/>
        <v>5477.3549999999996</v>
      </c>
      <c r="O405" s="7">
        <f t="shared" si="26"/>
        <v>8873.3151000000016</v>
      </c>
      <c r="P405" s="7">
        <f t="shared" si="27"/>
        <v>58169.510100000007</v>
      </c>
    </row>
    <row r="406" spans="1:16" x14ac:dyDescent="0.25">
      <c r="A406" s="2" t="s">
        <v>469</v>
      </c>
      <c r="B406" s="3">
        <v>45426</v>
      </c>
      <c r="C406" s="2" t="s">
        <v>59</v>
      </c>
      <c r="D406" s="2" t="s">
        <v>43</v>
      </c>
      <c r="E406" s="2" t="s">
        <v>29</v>
      </c>
      <c r="F406" s="2" t="s">
        <v>65</v>
      </c>
      <c r="G406" s="2" t="s">
        <v>27</v>
      </c>
      <c r="H406" s="2">
        <v>32</v>
      </c>
      <c r="I406" s="4">
        <v>405.31</v>
      </c>
      <c r="J406" s="2">
        <v>0</v>
      </c>
      <c r="K406" s="2">
        <v>18</v>
      </c>
      <c r="L406" s="2" t="s">
        <v>22</v>
      </c>
      <c r="M406" s="4">
        <f t="shared" si="24"/>
        <v>12969.92</v>
      </c>
      <c r="N406" s="4">
        <f t="shared" si="25"/>
        <v>0</v>
      </c>
      <c r="O406" s="4">
        <f t="shared" si="26"/>
        <v>2334.5855999999999</v>
      </c>
      <c r="P406" s="4">
        <f t="shared" si="27"/>
        <v>15304.5056</v>
      </c>
    </row>
    <row r="407" spans="1:16" x14ac:dyDescent="0.25">
      <c r="A407" s="5" t="s">
        <v>470</v>
      </c>
      <c r="B407" s="6">
        <v>45644</v>
      </c>
      <c r="C407" s="5" t="s">
        <v>17</v>
      </c>
      <c r="D407" s="5" t="s">
        <v>54</v>
      </c>
      <c r="E407" s="5" t="s">
        <v>29</v>
      </c>
      <c r="F407" s="5" t="s">
        <v>30</v>
      </c>
      <c r="G407" s="5" t="s">
        <v>55</v>
      </c>
      <c r="H407" s="5">
        <v>3</v>
      </c>
      <c r="I407" s="7">
        <v>1100.8</v>
      </c>
      <c r="J407" s="5">
        <v>0</v>
      </c>
      <c r="K407" s="5">
        <v>18</v>
      </c>
      <c r="L407" s="5" t="s">
        <v>22</v>
      </c>
      <c r="M407" s="7">
        <f t="shared" si="24"/>
        <v>3302.3999999999996</v>
      </c>
      <c r="N407" s="7">
        <f t="shared" si="25"/>
        <v>0</v>
      </c>
      <c r="O407" s="7">
        <f t="shared" si="26"/>
        <v>594.43200000000002</v>
      </c>
      <c r="P407" s="7">
        <f t="shared" si="27"/>
        <v>3896.8319999999994</v>
      </c>
    </row>
    <row r="408" spans="1:16" x14ac:dyDescent="0.25">
      <c r="A408" s="2" t="s">
        <v>471</v>
      </c>
      <c r="B408" s="3">
        <v>45544</v>
      </c>
      <c r="C408" s="2" t="s">
        <v>47</v>
      </c>
      <c r="D408" s="2" t="s">
        <v>25</v>
      </c>
      <c r="E408" s="2" t="s">
        <v>35</v>
      </c>
      <c r="F408" s="2" t="s">
        <v>36</v>
      </c>
      <c r="G408" s="2" t="s">
        <v>27</v>
      </c>
      <c r="H408" s="2">
        <v>8</v>
      </c>
      <c r="I408" s="4">
        <v>1672.11</v>
      </c>
      <c r="J408" s="2">
        <v>20</v>
      </c>
      <c r="K408" s="2">
        <v>18</v>
      </c>
      <c r="L408" s="2" t="s">
        <v>22</v>
      </c>
      <c r="M408" s="4">
        <f t="shared" si="24"/>
        <v>13376.88</v>
      </c>
      <c r="N408" s="4">
        <f t="shared" si="25"/>
        <v>2675.3759999999997</v>
      </c>
      <c r="O408" s="4">
        <f t="shared" si="26"/>
        <v>1926.2707199999998</v>
      </c>
      <c r="P408" s="4">
        <f t="shared" si="27"/>
        <v>12627.774719999999</v>
      </c>
    </row>
    <row r="409" spans="1:16" x14ac:dyDescent="0.25">
      <c r="A409" s="5" t="s">
        <v>472</v>
      </c>
      <c r="B409" s="6">
        <v>45427</v>
      </c>
      <c r="C409" s="5" t="s">
        <v>59</v>
      </c>
      <c r="D409" s="5" t="s">
        <v>60</v>
      </c>
      <c r="E409" s="5" t="s">
        <v>44</v>
      </c>
      <c r="F409" s="5" t="s">
        <v>45</v>
      </c>
      <c r="G409" s="5" t="s">
        <v>55</v>
      </c>
      <c r="H409" s="5">
        <v>30</v>
      </c>
      <c r="I409" s="7">
        <v>1977.45</v>
      </c>
      <c r="J409" s="5">
        <v>5</v>
      </c>
      <c r="K409" s="5">
        <v>18</v>
      </c>
      <c r="L409" s="5" t="s">
        <v>22</v>
      </c>
      <c r="M409" s="7">
        <f t="shared" si="24"/>
        <v>59323.5</v>
      </c>
      <c r="N409" s="7">
        <f t="shared" si="25"/>
        <v>2966.1750000000002</v>
      </c>
      <c r="O409" s="7">
        <f t="shared" si="26"/>
        <v>10144.318499999999</v>
      </c>
      <c r="P409" s="7">
        <f t="shared" si="27"/>
        <v>66501.643499999991</v>
      </c>
    </row>
    <row r="410" spans="1:16" x14ac:dyDescent="0.25">
      <c r="A410" s="2" t="s">
        <v>473</v>
      </c>
      <c r="B410" s="3">
        <v>45510</v>
      </c>
      <c r="C410" s="2" t="s">
        <v>59</v>
      </c>
      <c r="D410" s="2" t="s">
        <v>34</v>
      </c>
      <c r="E410" s="2" t="s">
        <v>35</v>
      </c>
      <c r="F410" s="2" t="s">
        <v>82</v>
      </c>
      <c r="G410" s="2" t="s">
        <v>27</v>
      </c>
      <c r="H410" s="2">
        <v>24</v>
      </c>
      <c r="I410" s="4">
        <v>1605.18</v>
      </c>
      <c r="J410" s="2">
        <v>5</v>
      </c>
      <c r="K410" s="2">
        <v>18</v>
      </c>
      <c r="L410" s="2" t="s">
        <v>22</v>
      </c>
      <c r="M410" s="4">
        <f t="shared" si="24"/>
        <v>38524.32</v>
      </c>
      <c r="N410" s="4">
        <f t="shared" si="25"/>
        <v>1926.2160000000001</v>
      </c>
      <c r="O410" s="4">
        <f t="shared" si="26"/>
        <v>6587.6587199999994</v>
      </c>
      <c r="P410" s="4">
        <f t="shared" si="27"/>
        <v>43185.762719999999</v>
      </c>
    </row>
    <row r="411" spans="1:16" x14ac:dyDescent="0.25">
      <c r="A411" s="5" t="s">
        <v>474</v>
      </c>
      <c r="B411" s="6">
        <v>45610</v>
      </c>
      <c r="C411" s="5" t="s">
        <v>59</v>
      </c>
      <c r="D411" s="5" t="s">
        <v>25</v>
      </c>
      <c r="E411" s="5" t="s">
        <v>19</v>
      </c>
      <c r="F411" s="5" t="s">
        <v>20</v>
      </c>
      <c r="G411" s="5" t="s">
        <v>21</v>
      </c>
      <c r="H411" s="5">
        <v>22</v>
      </c>
      <c r="I411" s="7">
        <v>721.48</v>
      </c>
      <c r="J411" s="5">
        <v>10</v>
      </c>
      <c r="K411" s="5">
        <v>18</v>
      </c>
      <c r="L411" s="5" t="s">
        <v>22</v>
      </c>
      <c r="M411" s="7">
        <f t="shared" si="24"/>
        <v>15872.560000000001</v>
      </c>
      <c r="N411" s="7">
        <f t="shared" si="25"/>
        <v>1587.2560000000001</v>
      </c>
      <c r="O411" s="7">
        <f t="shared" si="26"/>
        <v>2571.3547200000003</v>
      </c>
      <c r="P411" s="7">
        <f t="shared" si="27"/>
        <v>16856.658720000003</v>
      </c>
    </row>
    <row r="412" spans="1:16" x14ac:dyDescent="0.25">
      <c r="A412" s="2" t="s">
        <v>475</v>
      </c>
      <c r="B412" s="3">
        <v>45431</v>
      </c>
      <c r="C412" s="2" t="s">
        <v>17</v>
      </c>
      <c r="D412" s="2" t="s">
        <v>64</v>
      </c>
      <c r="E412" s="2" t="s">
        <v>38</v>
      </c>
      <c r="F412" s="2" t="s">
        <v>48</v>
      </c>
      <c r="G412" s="2" t="s">
        <v>21</v>
      </c>
      <c r="H412" s="2">
        <v>26</v>
      </c>
      <c r="I412" s="4">
        <v>806.5</v>
      </c>
      <c r="J412" s="2">
        <v>10</v>
      </c>
      <c r="K412" s="2">
        <v>18</v>
      </c>
      <c r="L412" s="2" t="s">
        <v>22</v>
      </c>
      <c r="M412" s="4">
        <f t="shared" si="24"/>
        <v>20969</v>
      </c>
      <c r="N412" s="4">
        <f t="shared" si="25"/>
        <v>2096.9</v>
      </c>
      <c r="O412" s="4">
        <f t="shared" si="26"/>
        <v>3396.9780000000001</v>
      </c>
      <c r="P412" s="4">
        <f t="shared" si="27"/>
        <v>22269.077999999998</v>
      </c>
    </row>
    <row r="413" spans="1:16" x14ac:dyDescent="0.25">
      <c r="A413" s="5" t="s">
        <v>476</v>
      </c>
      <c r="B413" s="6">
        <v>45345</v>
      </c>
      <c r="C413" s="5" t="s">
        <v>24</v>
      </c>
      <c r="D413" s="5" t="s">
        <v>34</v>
      </c>
      <c r="E413" s="5" t="s">
        <v>35</v>
      </c>
      <c r="F413" s="5" t="s">
        <v>76</v>
      </c>
      <c r="G413" s="5" t="s">
        <v>27</v>
      </c>
      <c r="H413" s="5">
        <v>45</v>
      </c>
      <c r="I413" s="7">
        <v>1455.56</v>
      </c>
      <c r="J413" s="5">
        <v>0</v>
      </c>
      <c r="K413" s="5">
        <v>18</v>
      </c>
      <c r="L413" s="5" t="s">
        <v>22</v>
      </c>
      <c r="M413" s="7">
        <f t="shared" si="24"/>
        <v>65500.2</v>
      </c>
      <c r="N413" s="7">
        <f t="shared" si="25"/>
        <v>0</v>
      </c>
      <c r="O413" s="7">
        <f t="shared" si="26"/>
        <v>11790.035999999998</v>
      </c>
      <c r="P413" s="7">
        <f t="shared" si="27"/>
        <v>77290.23599999999</v>
      </c>
    </row>
    <row r="414" spans="1:16" x14ac:dyDescent="0.25">
      <c r="A414" s="2" t="s">
        <v>477</v>
      </c>
      <c r="B414" s="3">
        <v>45306</v>
      </c>
      <c r="C414" s="2" t="s">
        <v>24</v>
      </c>
      <c r="D414" s="2" t="s">
        <v>52</v>
      </c>
      <c r="E414" s="2" t="s">
        <v>35</v>
      </c>
      <c r="F414" s="2" t="s">
        <v>68</v>
      </c>
      <c r="G414" s="2" t="s">
        <v>21</v>
      </c>
      <c r="H414" s="2">
        <v>25</v>
      </c>
      <c r="I414" s="4">
        <v>1560.54</v>
      </c>
      <c r="J414" s="2">
        <v>15</v>
      </c>
      <c r="K414" s="2">
        <v>18</v>
      </c>
      <c r="L414" s="2" t="s">
        <v>32</v>
      </c>
      <c r="M414" s="4">
        <f t="shared" si="24"/>
        <v>39013.5</v>
      </c>
      <c r="N414" s="4">
        <f t="shared" si="25"/>
        <v>5852.0249999999996</v>
      </c>
      <c r="O414" s="4">
        <f t="shared" si="26"/>
        <v>5969.0654999999997</v>
      </c>
      <c r="P414" s="4">
        <f t="shared" si="27"/>
        <v>39130.540499999996</v>
      </c>
    </row>
    <row r="415" spans="1:16" x14ac:dyDescent="0.25">
      <c r="A415" s="5" t="s">
        <v>478</v>
      </c>
      <c r="B415" s="6">
        <v>45452</v>
      </c>
      <c r="C415" s="5" t="s">
        <v>24</v>
      </c>
      <c r="D415" s="5" t="s">
        <v>60</v>
      </c>
      <c r="E415" s="5" t="s">
        <v>44</v>
      </c>
      <c r="F415" s="5" t="s">
        <v>91</v>
      </c>
      <c r="G415" s="5" t="s">
        <v>31</v>
      </c>
      <c r="H415" s="5">
        <v>3</v>
      </c>
      <c r="I415" s="7">
        <v>136.04</v>
      </c>
      <c r="J415" s="5">
        <v>20</v>
      </c>
      <c r="K415" s="5">
        <v>18</v>
      </c>
      <c r="L415" s="5" t="s">
        <v>49</v>
      </c>
      <c r="M415" s="7">
        <f t="shared" si="24"/>
        <v>408.12</v>
      </c>
      <c r="N415" s="7">
        <f t="shared" si="25"/>
        <v>81.623999999999995</v>
      </c>
      <c r="O415" s="7">
        <f t="shared" si="26"/>
        <v>58.769280000000002</v>
      </c>
      <c r="P415" s="7">
        <f t="shared" si="27"/>
        <v>385.26527999999996</v>
      </c>
    </row>
    <row r="416" spans="1:16" x14ac:dyDescent="0.25">
      <c r="A416" s="2" t="s">
        <v>479</v>
      </c>
      <c r="B416" s="3">
        <v>45469</v>
      </c>
      <c r="C416" s="2" t="s">
        <v>47</v>
      </c>
      <c r="D416" s="2" t="s">
        <v>64</v>
      </c>
      <c r="E416" s="2" t="s">
        <v>19</v>
      </c>
      <c r="F416" s="2" t="s">
        <v>26</v>
      </c>
      <c r="G416" s="2" t="s">
        <v>27</v>
      </c>
      <c r="H416" s="2">
        <v>43</v>
      </c>
      <c r="I416" s="4">
        <v>1456.04</v>
      </c>
      <c r="J416" s="2">
        <v>10</v>
      </c>
      <c r="K416" s="2">
        <v>18</v>
      </c>
      <c r="L416" s="2" t="s">
        <v>49</v>
      </c>
      <c r="M416" s="4">
        <f t="shared" si="24"/>
        <v>62609.72</v>
      </c>
      <c r="N416" s="4">
        <f t="shared" si="25"/>
        <v>6260.9719999999998</v>
      </c>
      <c r="O416" s="4">
        <f t="shared" si="26"/>
        <v>10142.77464</v>
      </c>
      <c r="P416" s="4">
        <f t="shared" si="27"/>
        <v>66491.522639999996</v>
      </c>
    </row>
    <row r="417" spans="1:16" x14ac:dyDescent="0.25">
      <c r="A417" s="5" t="s">
        <v>480</v>
      </c>
      <c r="B417" s="6">
        <v>45330</v>
      </c>
      <c r="C417" s="5" t="s">
        <v>59</v>
      </c>
      <c r="D417" s="5" t="s">
        <v>25</v>
      </c>
      <c r="E417" s="5" t="s">
        <v>35</v>
      </c>
      <c r="F417" s="5" t="s">
        <v>88</v>
      </c>
      <c r="G417" s="5" t="s">
        <v>21</v>
      </c>
      <c r="H417" s="5">
        <v>31</v>
      </c>
      <c r="I417" s="7">
        <v>1705.22</v>
      </c>
      <c r="J417" s="5">
        <v>0</v>
      </c>
      <c r="K417" s="5">
        <v>18</v>
      </c>
      <c r="L417" s="5" t="s">
        <v>32</v>
      </c>
      <c r="M417" s="7">
        <f t="shared" si="24"/>
        <v>52861.82</v>
      </c>
      <c r="N417" s="7">
        <f t="shared" si="25"/>
        <v>0</v>
      </c>
      <c r="O417" s="7">
        <f t="shared" si="26"/>
        <v>9515.1275999999998</v>
      </c>
      <c r="P417" s="7">
        <f t="shared" si="27"/>
        <v>62376.9476</v>
      </c>
    </row>
    <row r="418" spans="1:16" x14ac:dyDescent="0.25">
      <c r="A418" s="2" t="s">
        <v>481</v>
      </c>
      <c r="B418" s="3">
        <v>45485</v>
      </c>
      <c r="C418" s="2" t="s">
        <v>47</v>
      </c>
      <c r="D418" s="2" t="s">
        <v>64</v>
      </c>
      <c r="E418" s="2" t="s">
        <v>35</v>
      </c>
      <c r="F418" s="2" t="s">
        <v>36</v>
      </c>
      <c r="G418" s="2" t="s">
        <v>55</v>
      </c>
      <c r="H418" s="2">
        <v>33</v>
      </c>
      <c r="I418" s="4">
        <v>453.19</v>
      </c>
      <c r="J418" s="2">
        <v>20</v>
      </c>
      <c r="K418" s="2">
        <v>18</v>
      </c>
      <c r="L418" s="2" t="s">
        <v>22</v>
      </c>
      <c r="M418" s="4">
        <f t="shared" si="24"/>
        <v>14955.27</v>
      </c>
      <c r="N418" s="4">
        <f t="shared" si="25"/>
        <v>2991.0540000000001</v>
      </c>
      <c r="O418" s="4">
        <f t="shared" si="26"/>
        <v>2153.55888</v>
      </c>
      <c r="P418" s="4">
        <f t="shared" si="27"/>
        <v>14117.774880000001</v>
      </c>
    </row>
    <row r="419" spans="1:16" x14ac:dyDescent="0.25">
      <c r="A419" s="5" t="s">
        <v>482</v>
      </c>
      <c r="B419" s="6">
        <v>45520</v>
      </c>
      <c r="C419" s="5" t="s">
        <v>59</v>
      </c>
      <c r="D419" s="5" t="s">
        <v>52</v>
      </c>
      <c r="E419" s="5" t="s">
        <v>35</v>
      </c>
      <c r="F419" s="5" t="s">
        <v>88</v>
      </c>
      <c r="G419" s="5" t="s">
        <v>31</v>
      </c>
      <c r="H419" s="5">
        <v>29</v>
      </c>
      <c r="I419" s="7">
        <v>185.16</v>
      </c>
      <c r="J419" s="5">
        <v>10</v>
      </c>
      <c r="K419" s="5">
        <v>18</v>
      </c>
      <c r="L419" s="5" t="s">
        <v>32</v>
      </c>
      <c r="M419" s="7">
        <f t="shared" si="24"/>
        <v>5369.64</v>
      </c>
      <c r="N419" s="7">
        <f t="shared" si="25"/>
        <v>536.96400000000006</v>
      </c>
      <c r="O419" s="7">
        <f t="shared" si="26"/>
        <v>869.88168000000007</v>
      </c>
      <c r="P419" s="7">
        <f t="shared" si="27"/>
        <v>5702.5576800000008</v>
      </c>
    </row>
    <row r="420" spans="1:16" x14ac:dyDescent="0.25">
      <c r="A420" s="2" t="s">
        <v>483</v>
      </c>
      <c r="B420" s="3">
        <v>45292</v>
      </c>
      <c r="C420" s="2" t="s">
        <v>24</v>
      </c>
      <c r="D420" s="2" t="s">
        <v>25</v>
      </c>
      <c r="E420" s="2" t="s">
        <v>38</v>
      </c>
      <c r="F420" s="2" t="s">
        <v>48</v>
      </c>
      <c r="G420" s="2" t="s">
        <v>27</v>
      </c>
      <c r="H420" s="2">
        <v>27</v>
      </c>
      <c r="I420" s="4">
        <v>81.31</v>
      </c>
      <c r="J420" s="2">
        <v>15</v>
      </c>
      <c r="K420" s="2">
        <v>18</v>
      </c>
      <c r="L420" s="2" t="s">
        <v>49</v>
      </c>
      <c r="M420" s="4">
        <f t="shared" si="24"/>
        <v>2195.37</v>
      </c>
      <c r="N420" s="4">
        <f t="shared" si="25"/>
        <v>329.30549999999994</v>
      </c>
      <c r="O420" s="4">
        <f t="shared" si="26"/>
        <v>335.89161000000001</v>
      </c>
      <c r="P420" s="4">
        <f t="shared" si="27"/>
        <v>2201.9561100000001</v>
      </c>
    </row>
    <row r="421" spans="1:16" x14ac:dyDescent="0.25">
      <c r="A421" s="5" t="s">
        <v>484</v>
      </c>
      <c r="B421" s="6">
        <v>45524</v>
      </c>
      <c r="C421" s="5" t="s">
        <v>17</v>
      </c>
      <c r="D421" s="5" t="s">
        <v>18</v>
      </c>
      <c r="E421" s="5" t="s">
        <v>19</v>
      </c>
      <c r="F421" s="5" t="s">
        <v>26</v>
      </c>
      <c r="G421" s="5" t="s">
        <v>31</v>
      </c>
      <c r="H421" s="5">
        <v>24</v>
      </c>
      <c r="I421" s="7">
        <v>1652.37</v>
      </c>
      <c r="J421" s="5">
        <v>0</v>
      </c>
      <c r="K421" s="5">
        <v>18</v>
      </c>
      <c r="L421" s="5" t="s">
        <v>22</v>
      </c>
      <c r="M421" s="7">
        <f t="shared" si="24"/>
        <v>39656.879999999997</v>
      </c>
      <c r="N421" s="7">
        <f t="shared" si="25"/>
        <v>0</v>
      </c>
      <c r="O421" s="7">
        <f t="shared" si="26"/>
        <v>7138.2383999999993</v>
      </c>
      <c r="P421" s="7">
        <f t="shared" si="27"/>
        <v>46795.118399999999</v>
      </c>
    </row>
    <row r="422" spans="1:16" x14ac:dyDescent="0.25">
      <c r="A422" s="2" t="s">
        <v>485</v>
      </c>
      <c r="B422" s="3">
        <v>45293</v>
      </c>
      <c r="C422" s="2" t="s">
        <v>24</v>
      </c>
      <c r="D422" s="2" t="s">
        <v>64</v>
      </c>
      <c r="E422" s="2" t="s">
        <v>38</v>
      </c>
      <c r="F422" s="2" t="s">
        <v>39</v>
      </c>
      <c r="G422" s="2" t="s">
        <v>31</v>
      </c>
      <c r="H422" s="2">
        <v>7</v>
      </c>
      <c r="I422" s="4">
        <v>1521.05</v>
      </c>
      <c r="J422" s="2">
        <v>0</v>
      </c>
      <c r="K422" s="2">
        <v>18</v>
      </c>
      <c r="L422" s="2" t="s">
        <v>22</v>
      </c>
      <c r="M422" s="4">
        <f t="shared" si="24"/>
        <v>10647.35</v>
      </c>
      <c r="N422" s="4">
        <f t="shared" si="25"/>
        <v>0</v>
      </c>
      <c r="O422" s="4">
        <f t="shared" si="26"/>
        <v>1916.5230000000001</v>
      </c>
      <c r="P422" s="4">
        <f t="shared" si="27"/>
        <v>12563.873</v>
      </c>
    </row>
    <row r="423" spans="1:16" x14ac:dyDescent="0.25">
      <c r="A423" s="5" t="s">
        <v>486</v>
      </c>
      <c r="B423" s="6">
        <v>45501</v>
      </c>
      <c r="C423" s="5" t="s">
        <v>17</v>
      </c>
      <c r="D423" s="5" t="s">
        <v>64</v>
      </c>
      <c r="E423" s="5" t="s">
        <v>38</v>
      </c>
      <c r="F423" s="5" t="s">
        <v>135</v>
      </c>
      <c r="G423" s="5" t="s">
        <v>27</v>
      </c>
      <c r="H423" s="5">
        <v>11</v>
      </c>
      <c r="I423" s="7">
        <v>989.92</v>
      </c>
      <c r="J423" s="5">
        <v>20</v>
      </c>
      <c r="K423" s="5">
        <v>18</v>
      </c>
      <c r="L423" s="5" t="s">
        <v>22</v>
      </c>
      <c r="M423" s="7">
        <f t="shared" si="24"/>
        <v>10889.119999999999</v>
      </c>
      <c r="N423" s="7">
        <f t="shared" si="25"/>
        <v>2177.8239999999996</v>
      </c>
      <c r="O423" s="7">
        <f t="shared" si="26"/>
        <v>1568.0332799999999</v>
      </c>
      <c r="P423" s="7">
        <f t="shared" si="27"/>
        <v>10279.329279999998</v>
      </c>
    </row>
    <row r="424" spans="1:16" x14ac:dyDescent="0.25">
      <c r="A424" s="2" t="s">
        <v>487</v>
      </c>
      <c r="B424" s="3">
        <v>45465</v>
      </c>
      <c r="C424" s="2" t="s">
        <v>47</v>
      </c>
      <c r="D424" s="2" t="s">
        <v>18</v>
      </c>
      <c r="E424" s="2" t="s">
        <v>19</v>
      </c>
      <c r="F424" s="2" t="s">
        <v>62</v>
      </c>
      <c r="G424" s="2" t="s">
        <v>27</v>
      </c>
      <c r="H424" s="2">
        <v>14</v>
      </c>
      <c r="I424" s="4">
        <v>919.52</v>
      </c>
      <c r="J424" s="2">
        <v>0</v>
      </c>
      <c r="K424" s="2">
        <v>18</v>
      </c>
      <c r="L424" s="2" t="s">
        <v>49</v>
      </c>
      <c r="M424" s="4">
        <f t="shared" si="24"/>
        <v>12873.279999999999</v>
      </c>
      <c r="N424" s="4">
        <f t="shared" si="25"/>
        <v>0</v>
      </c>
      <c r="O424" s="4">
        <f t="shared" si="26"/>
        <v>2317.1904</v>
      </c>
      <c r="P424" s="4">
        <f t="shared" si="27"/>
        <v>15190.470399999998</v>
      </c>
    </row>
    <row r="425" spans="1:16" x14ac:dyDescent="0.25">
      <c r="A425" s="5" t="s">
        <v>488</v>
      </c>
      <c r="B425" s="6">
        <v>45360</v>
      </c>
      <c r="C425" s="5" t="s">
        <v>59</v>
      </c>
      <c r="D425" s="5" t="s">
        <v>60</v>
      </c>
      <c r="E425" s="5" t="s">
        <v>19</v>
      </c>
      <c r="F425" s="5" t="s">
        <v>157</v>
      </c>
      <c r="G425" s="5" t="s">
        <v>31</v>
      </c>
      <c r="H425" s="5">
        <v>43</v>
      </c>
      <c r="I425" s="7">
        <v>1182.74</v>
      </c>
      <c r="J425" s="5">
        <v>15</v>
      </c>
      <c r="K425" s="5">
        <v>18</v>
      </c>
      <c r="L425" s="5" t="s">
        <v>49</v>
      </c>
      <c r="M425" s="7">
        <f t="shared" si="24"/>
        <v>50857.82</v>
      </c>
      <c r="N425" s="7">
        <f t="shared" si="25"/>
        <v>7628.6730000000007</v>
      </c>
      <c r="O425" s="7">
        <f t="shared" si="26"/>
        <v>7781.2464599999994</v>
      </c>
      <c r="P425" s="7">
        <f t="shared" si="27"/>
        <v>51010.393459999999</v>
      </c>
    </row>
    <row r="426" spans="1:16" x14ac:dyDescent="0.25">
      <c r="A426" s="2" t="s">
        <v>489</v>
      </c>
      <c r="B426" s="3">
        <v>45646</v>
      </c>
      <c r="C426" s="2" t="s">
        <v>59</v>
      </c>
      <c r="D426" s="2" t="s">
        <v>54</v>
      </c>
      <c r="E426" s="2" t="s">
        <v>35</v>
      </c>
      <c r="F426" s="2" t="s">
        <v>82</v>
      </c>
      <c r="G426" s="2" t="s">
        <v>31</v>
      </c>
      <c r="H426" s="2">
        <v>50</v>
      </c>
      <c r="I426" s="4">
        <v>1843.11</v>
      </c>
      <c r="J426" s="2">
        <v>0</v>
      </c>
      <c r="K426" s="2">
        <v>18</v>
      </c>
      <c r="L426" s="2" t="s">
        <v>32</v>
      </c>
      <c r="M426" s="4">
        <f t="shared" si="24"/>
        <v>92155.5</v>
      </c>
      <c r="N426" s="4">
        <f t="shared" si="25"/>
        <v>0</v>
      </c>
      <c r="O426" s="4">
        <f t="shared" si="26"/>
        <v>16587.990000000002</v>
      </c>
      <c r="P426" s="4">
        <f t="shared" si="27"/>
        <v>108743.49</v>
      </c>
    </row>
    <row r="427" spans="1:16" x14ac:dyDescent="0.25">
      <c r="A427" s="5" t="s">
        <v>490</v>
      </c>
      <c r="B427" s="6">
        <v>45488</v>
      </c>
      <c r="C427" s="5" t="s">
        <v>47</v>
      </c>
      <c r="D427" s="5" t="s">
        <v>60</v>
      </c>
      <c r="E427" s="5" t="s">
        <v>29</v>
      </c>
      <c r="F427" s="5" t="s">
        <v>30</v>
      </c>
      <c r="G427" s="5" t="s">
        <v>31</v>
      </c>
      <c r="H427" s="5">
        <v>39</v>
      </c>
      <c r="I427" s="7">
        <v>1766.56</v>
      </c>
      <c r="J427" s="5">
        <v>15</v>
      </c>
      <c r="K427" s="5">
        <v>18</v>
      </c>
      <c r="L427" s="5" t="s">
        <v>32</v>
      </c>
      <c r="M427" s="7">
        <f t="shared" si="24"/>
        <v>68895.839999999997</v>
      </c>
      <c r="N427" s="7">
        <f t="shared" si="25"/>
        <v>10334.376</v>
      </c>
      <c r="O427" s="7">
        <f t="shared" si="26"/>
        <v>10541.06352</v>
      </c>
      <c r="P427" s="7">
        <f t="shared" si="27"/>
        <v>69102.527519999989</v>
      </c>
    </row>
    <row r="428" spans="1:16" x14ac:dyDescent="0.25">
      <c r="A428" s="2" t="s">
        <v>491</v>
      </c>
      <c r="B428" s="3">
        <v>45362</v>
      </c>
      <c r="C428" s="2" t="s">
        <v>47</v>
      </c>
      <c r="D428" s="2" t="s">
        <v>43</v>
      </c>
      <c r="E428" s="2" t="s">
        <v>35</v>
      </c>
      <c r="F428" s="2" t="s">
        <v>68</v>
      </c>
      <c r="G428" s="2" t="s">
        <v>31</v>
      </c>
      <c r="H428" s="2">
        <v>19</v>
      </c>
      <c r="I428" s="4">
        <v>911.16</v>
      </c>
      <c r="J428" s="2">
        <v>0</v>
      </c>
      <c r="K428" s="2">
        <v>18</v>
      </c>
      <c r="L428" s="2" t="s">
        <v>22</v>
      </c>
      <c r="M428" s="4">
        <f t="shared" si="24"/>
        <v>17312.04</v>
      </c>
      <c r="N428" s="4">
        <f t="shared" si="25"/>
        <v>0</v>
      </c>
      <c r="O428" s="4">
        <f t="shared" si="26"/>
        <v>3116.1672000000003</v>
      </c>
      <c r="P428" s="4">
        <f t="shared" si="27"/>
        <v>20428.207200000001</v>
      </c>
    </row>
    <row r="429" spans="1:16" x14ac:dyDescent="0.25">
      <c r="A429" s="5" t="s">
        <v>492</v>
      </c>
      <c r="B429" s="6">
        <v>45643</v>
      </c>
      <c r="C429" s="5" t="s">
        <v>17</v>
      </c>
      <c r="D429" s="5" t="s">
        <v>64</v>
      </c>
      <c r="E429" s="5" t="s">
        <v>35</v>
      </c>
      <c r="F429" s="5" t="s">
        <v>68</v>
      </c>
      <c r="G429" s="5" t="s">
        <v>21</v>
      </c>
      <c r="H429" s="5">
        <v>14</v>
      </c>
      <c r="I429" s="7">
        <v>1252.0899999999999</v>
      </c>
      <c r="J429" s="5">
        <v>5</v>
      </c>
      <c r="K429" s="5">
        <v>18</v>
      </c>
      <c r="L429" s="5" t="s">
        <v>22</v>
      </c>
      <c r="M429" s="7">
        <f t="shared" si="24"/>
        <v>17529.259999999998</v>
      </c>
      <c r="N429" s="7">
        <f t="shared" si="25"/>
        <v>876.46299999999985</v>
      </c>
      <c r="O429" s="7">
        <f t="shared" si="26"/>
        <v>2997.5034599999994</v>
      </c>
      <c r="P429" s="7">
        <f t="shared" si="27"/>
        <v>19650.300459999999</v>
      </c>
    </row>
    <row r="430" spans="1:16" x14ac:dyDescent="0.25">
      <c r="A430" s="2" t="s">
        <v>493</v>
      </c>
      <c r="B430" s="3">
        <v>45633</v>
      </c>
      <c r="C430" s="2" t="s">
        <v>47</v>
      </c>
      <c r="D430" s="2" t="s">
        <v>64</v>
      </c>
      <c r="E430" s="2" t="s">
        <v>38</v>
      </c>
      <c r="F430" s="2" t="s">
        <v>96</v>
      </c>
      <c r="G430" s="2" t="s">
        <v>27</v>
      </c>
      <c r="H430" s="2">
        <v>36</v>
      </c>
      <c r="I430" s="4">
        <v>965.94</v>
      </c>
      <c r="J430" s="2">
        <v>15</v>
      </c>
      <c r="K430" s="2">
        <v>18</v>
      </c>
      <c r="L430" s="2" t="s">
        <v>22</v>
      </c>
      <c r="M430" s="4">
        <f t="shared" si="24"/>
        <v>34773.840000000004</v>
      </c>
      <c r="N430" s="4">
        <f t="shared" si="25"/>
        <v>5216.076</v>
      </c>
      <c r="O430" s="4">
        <f t="shared" si="26"/>
        <v>5320.3975200000014</v>
      </c>
      <c r="P430" s="4">
        <f t="shared" si="27"/>
        <v>34878.161520000001</v>
      </c>
    </row>
    <row r="431" spans="1:16" x14ac:dyDescent="0.25">
      <c r="A431" s="5" t="s">
        <v>494</v>
      </c>
      <c r="B431" s="6">
        <v>45319</v>
      </c>
      <c r="C431" s="5" t="s">
        <v>17</v>
      </c>
      <c r="D431" s="5" t="s">
        <v>54</v>
      </c>
      <c r="E431" s="5" t="s">
        <v>35</v>
      </c>
      <c r="F431" s="5" t="s">
        <v>68</v>
      </c>
      <c r="G431" s="5" t="s">
        <v>27</v>
      </c>
      <c r="H431" s="5">
        <v>7</v>
      </c>
      <c r="I431" s="7">
        <v>60.29</v>
      </c>
      <c r="J431" s="5">
        <v>0</v>
      </c>
      <c r="K431" s="5">
        <v>18</v>
      </c>
      <c r="L431" s="5" t="s">
        <v>32</v>
      </c>
      <c r="M431" s="7">
        <f t="shared" si="24"/>
        <v>422.03</v>
      </c>
      <c r="N431" s="7">
        <f t="shared" si="25"/>
        <v>0</v>
      </c>
      <c r="O431" s="7">
        <f t="shared" si="26"/>
        <v>75.965399999999988</v>
      </c>
      <c r="P431" s="7">
        <f t="shared" si="27"/>
        <v>497.99539999999996</v>
      </c>
    </row>
    <row r="432" spans="1:16" x14ac:dyDescent="0.25">
      <c r="A432" s="2" t="s">
        <v>495</v>
      </c>
      <c r="B432" s="3">
        <v>45443</v>
      </c>
      <c r="C432" s="2" t="s">
        <v>17</v>
      </c>
      <c r="D432" s="2" t="s">
        <v>34</v>
      </c>
      <c r="E432" s="2" t="s">
        <v>19</v>
      </c>
      <c r="F432" s="2" t="s">
        <v>57</v>
      </c>
      <c r="G432" s="2" t="s">
        <v>55</v>
      </c>
      <c r="H432" s="2">
        <v>10</v>
      </c>
      <c r="I432" s="4">
        <v>1680.37</v>
      </c>
      <c r="J432" s="2">
        <v>20</v>
      </c>
      <c r="K432" s="2">
        <v>18</v>
      </c>
      <c r="L432" s="2" t="s">
        <v>22</v>
      </c>
      <c r="M432" s="4">
        <f t="shared" si="24"/>
        <v>16803.699999999997</v>
      </c>
      <c r="N432" s="4">
        <f t="shared" si="25"/>
        <v>3360.7399999999993</v>
      </c>
      <c r="O432" s="4">
        <f t="shared" si="26"/>
        <v>2419.7327999999993</v>
      </c>
      <c r="P432" s="4">
        <f t="shared" si="27"/>
        <v>15862.692799999997</v>
      </c>
    </row>
    <row r="433" spans="1:16" x14ac:dyDescent="0.25">
      <c r="A433" s="5" t="s">
        <v>496</v>
      </c>
      <c r="B433" s="6">
        <v>45579</v>
      </c>
      <c r="C433" s="5" t="s">
        <v>59</v>
      </c>
      <c r="D433" s="5" t="s">
        <v>64</v>
      </c>
      <c r="E433" s="5" t="s">
        <v>44</v>
      </c>
      <c r="F433" s="5" t="s">
        <v>141</v>
      </c>
      <c r="G433" s="5" t="s">
        <v>31</v>
      </c>
      <c r="H433" s="5">
        <v>40</v>
      </c>
      <c r="I433" s="7">
        <v>1737.39</v>
      </c>
      <c r="J433" s="5">
        <v>20</v>
      </c>
      <c r="K433" s="5">
        <v>18</v>
      </c>
      <c r="L433" s="5" t="s">
        <v>22</v>
      </c>
      <c r="M433" s="7">
        <f t="shared" si="24"/>
        <v>69495.600000000006</v>
      </c>
      <c r="N433" s="7">
        <f t="shared" si="25"/>
        <v>13899.12</v>
      </c>
      <c r="O433" s="7">
        <f t="shared" si="26"/>
        <v>10007.366400000001</v>
      </c>
      <c r="P433" s="7">
        <f t="shared" si="27"/>
        <v>65603.846400000009</v>
      </c>
    </row>
    <row r="434" spans="1:16" x14ac:dyDescent="0.25">
      <c r="A434" s="2" t="s">
        <v>497</v>
      </c>
      <c r="B434" s="3">
        <v>45452</v>
      </c>
      <c r="C434" s="2" t="s">
        <v>24</v>
      </c>
      <c r="D434" s="2" t="s">
        <v>18</v>
      </c>
      <c r="E434" s="2" t="s">
        <v>44</v>
      </c>
      <c r="F434" s="2" t="s">
        <v>141</v>
      </c>
      <c r="G434" s="2" t="s">
        <v>55</v>
      </c>
      <c r="H434" s="2">
        <v>25</v>
      </c>
      <c r="I434" s="4">
        <v>781.23</v>
      </c>
      <c r="J434" s="2">
        <v>20</v>
      </c>
      <c r="K434" s="2">
        <v>18</v>
      </c>
      <c r="L434" s="2" t="s">
        <v>22</v>
      </c>
      <c r="M434" s="4">
        <f t="shared" si="24"/>
        <v>19530.75</v>
      </c>
      <c r="N434" s="4">
        <f t="shared" si="25"/>
        <v>3906.15</v>
      </c>
      <c r="O434" s="4">
        <f t="shared" si="26"/>
        <v>2812.4279999999999</v>
      </c>
      <c r="P434" s="4">
        <f t="shared" si="27"/>
        <v>18437.027999999998</v>
      </c>
    </row>
    <row r="435" spans="1:16" x14ac:dyDescent="0.25">
      <c r="A435" s="5" t="s">
        <v>498</v>
      </c>
      <c r="B435" s="6">
        <v>45407</v>
      </c>
      <c r="C435" s="5" t="s">
        <v>59</v>
      </c>
      <c r="D435" s="5" t="s">
        <v>43</v>
      </c>
      <c r="E435" s="5" t="s">
        <v>29</v>
      </c>
      <c r="F435" s="5" t="s">
        <v>80</v>
      </c>
      <c r="G435" s="5" t="s">
        <v>21</v>
      </c>
      <c r="H435" s="5">
        <v>50</v>
      </c>
      <c r="I435" s="7">
        <v>1722.29</v>
      </c>
      <c r="J435" s="5">
        <v>10</v>
      </c>
      <c r="K435" s="5">
        <v>18</v>
      </c>
      <c r="L435" s="5" t="s">
        <v>32</v>
      </c>
      <c r="M435" s="7">
        <f t="shared" si="24"/>
        <v>86114.5</v>
      </c>
      <c r="N435" s="7">
        <f t="shared" si="25"/>
        <v>8611.4500000000007</v>
      </c>
      <c r="O435" s="7">
        <f t="shared" si="26"/>
        <v>13950.549000000001</v>
      </c>
      <c r="P435" s="7">
        <f t="shared" si="27"/>
        <v>91453.599000000002</v>
      </c>
    </row>
    <row r="436" spans="1:16" x14ac:dyDescent="0.25">
      <c r="A436" s="2" t="s">
        <v>499</v>
      </c>
      <c r="B436" s="3">
        <v>45387</v>
      </c>
      <c r="C436" s="2" t="s">
        <v>47</v>
      </c>
      <c r="D436" s="2" t="s">
        <v>18</v>
      </c>
      <c r="E436" s="2" t="s">
        <v>38</v>
      </c>
      <c r="F436" s="2" t="s">
        <v>39</v>
      </c>
      <c r="G436" s="2" t="s">
        <v>55</v>
      </c>
      <c r="H436" s="2">
        <v>12</v>
      </c>
      <c r="I436" s="4">
        <v>1967.07</v>
      </c>
      <c r="J436" s="2">
        <v>0</v>
      </c>
      <c r="K436" s="2">
        <v>18</v>
      </c>
      <c r="L436" s="2" t="s">
        <v>49</v>
      </c>
      <c r="M436" s="4">
        <f t="shared" si="24"/>
        <v>23604.84</v>
      </c>
      <c r="N436" s="4">
        <f t="shared" si="25"/>
        <v>0</v>
      </c>
      <c r="O436" s="4">
        <f t="shared" si="26"/>
        <v>4248.8711999999996</v>
      </c>
      <c r="P436" s="4">
        <f t="shared" si="27"/>
        <v>27853.711199999998</v>
      </c>
    </row>
    <row r="437" spans="1:16" x14ac:dyDescent="0.25">
      <c r="A437" s="5" t="s">
        <v>500</v>
      </c>
      <c r="B437" s="6">
        <v>45374</v>
      </c>
      <c r="C437" s="5" t="s">
        <v>59</v>
      </c>
      <c r="D437" s="5" t="s">
        <v>54</v>
      </c>
      <c r="E437" s="5" t="s">
        <v>44</v>
      </c>
      <c r="F437" s="5" t="s">
        <v>141</v>
      </c>
      <c r="G437" s="5" t="s">
        <v>27</v>
      </c>
      <c r="H437" s="5">
        <v>18</v>
      </c>
      <c r="I437" s="7">
        <v>1117.6300000000001</v>
      </c>
      <c r="J437" s="5">
        <v>0</v>
      </c>
      <c r="K437" s="5">
        <v>18</v>
      </c>
      <c r="L437" s="5" t="s">
        <v>49</v>
      </c>
      <c r="M437" s="7">
        <f t="shared" si="24"/>
        <v>20117.340000000004</v>
      </c>
      <c r="N437" s="7">
        <f t="shared" si="25"/>
        <v>0</v>
      </c>
      <c r="O437" s="7">
        <f t="shared" si="26"/>
        <v>3621.1212000000005</v>
      </c>
      <c r="P437" s="7">
        <f t="shared" si="27"/>
        <v>23738.461200000005</v>
      </c>
    </row>
    <row r="438" spans="1:16" x14ac:dyDescent="0.25">
      <c r="A438" s="2" t="s">
        <v>501</v>
      </c>
      <c r="B438" s="3">
        <v>45597</v>
      </c>
      <c r="C438" s="2" t="s">
        <v>59</v>
      </c>
      <c r="D438" s="2" t="s">
        <v>64</v>
      </c>
      <c r="E438" s="2" t="s">
        <v>29</v>
      </c>
      <c r="F438" s="2" t="s">
        <v>41</v>
      </c>
      <c r="G438" s="2" t="s">
        <v>31</v>
      </c>
      <c r="H438" s="2">
        <v>3</v>
      </c>
      <c r="I438" s="4">
        <v>315.87</v>
      </c>
      <c r="J438" s="2">
        <v>5</v>
      </c>
      <c r="K438" s="2">
        <v>18</v>
      </c>
      <c r="L438" s="2" t="s">
        <v>22</v>
      </c>
      <c r="M438" s="4">
        <f t="shared" si="24"/>
        <v>947.61</v>
      </c>
      <c r="N438" s="4">
        <f t="shared" si="25"/>
        <v>47.380500000000005</v>
      </c>
      <c r="O438" s="4">
        <f t="shared" si="26"/>
        <v>162.04131000000001</v>
      </c>
      <c r="P438" s="4">
        <f t="shared" si="27"/>
        <v>1062.27081</v>
      </c>
    </row>
    <row r="439" spans="1:16" x14ac:dyDescent="0.25">
      <c r="A439" s="5" t="s">
        <v>502</v>
      </c>
      <c r="B439" s="6">
        <v>45386</v>
      </c>
      <c r="C439" s="5" t="s">
        <v>17</v>
      </c>
      <c r="D439" s="5" t="s">
        <v>52</v>
      </c>
      <c r="E439" s="5" t="s">
        <v>19</v>
      </c>
      <c r="F439" s="5" t="s">
        <v>26</v>
      </c>
      <c r="G439" s="5" t="s">
        <v>55</v>
      </c>
      <c r="H439" s="5">
        <v>46</v>
      </c>
      <c r="I439" s="7">
        <v>642.54</v>
      </c>
      <c r="J439" s="5">
        <v>0</v>
      </c>
      <c r="K439" s="5">
        <v>18</v>
      </c>
      <c r="L439" s="5" t="s">
        <v>22</v>
      </c>
      <c r="M439" s="7">
        <f t="shared" si="24"/>
        <v>29556.839999999997</v>
      </c>
      <c r="N439" s="7">
        <f t="shared" si="25"/>
        <v>0</v>
      </c>
      <c r="O439" s="7">
        <f t="shared" si="26"/>
        <v>5320.2311999999984</v>
      </c>
      <c r="P439" s="7">
        <f t="shared" si="27"/>
        <v>34877.071199999991</v>
      </c>
    </row>
    <row r="440" spans="1:16" x14ac:dyDescent="0.25">
      <c r="A440" s="2" t="s">
        <v>503</v>
      </c>
      <c r="B440" s="3">
        <v>45631</v>
      </c>
      <c r="C440" s="2" t="s">
        <v>47</v>
      </c>
      <c r="D440" s="2" t="s">
        <v>54</v>
      </c>
      <c r="E440" s="2" t="s">
        <v>29</v>
      </c>
      <c r="F440" s="2" t="s">
        <v>80</v>
      </c>
      <c r="G440" s="2" t="s">
        <v>31</v>
      </c>
      <c r="H440" s="2">
        <v>23</v>
      </c>
      <c r="I440" s="4">
        <v>450.18</v>
      </c>
      <c r="J440" s="2">
        <v>0</v>
      </c>
      <c r="K440" s="2">
        <v>18</v>
      </c>
      <c r="L440" s="2" t="s">
        <v>22</v>
      </c>
      <c r="M440" s="4">
        <f t="shared" si="24"/>
        <v>10354.14</v>
      </c>
      <c r="N440" s="4">
        <f t="shared" si="25"/>
        <v>0</v>
      </c>
      <c r="O440" s="4">
        <f t="shared" si="26"/>
        <v>1863.7451999999998</v>
      </c>
      <c r="P440" s="4">
        <f t="shared" si="27"/>
        <v>12217.885199999999</v>
      </c>
    </row>
    <row r="441" spans="1:16" x14ac:dyDescent="0.25">
      <c r="A441" s="5" t="s">
        <v>504</v>
      </c>
      <c r="B441" s="6">
        <v>45624</v>
      </c>
      <c r="C441" s="5" t="s">
        <v>17</v>
      </c>
      <c r="D441" s="5" t="s">
        <v>43</v>
      </c>
      <c r="E441" s="5" t="s">
        <v>38</v>
      </c>
      <c r="F441" s="5" t="s">
        <v>135</v>
      </c>
      <c r="G441" s="5" t="s">
        <v>21</v>
      </c>
      <c r="H441" s="5">
        <v>34</v>
      </c>
      <c r="I441" s="7">
        <v>954.97</v>
      </c>
      <c r="J441" s="5">
        <v>15</v>
      </c>
      <c r="K441" s="5">
        <v>18</v>
      </c>
      <c r="L441" s="5" t="s">
        <v>32</v>
      </c>
      <c r="M441" s="7">
        <f t="shared" si="24"/>
        <v>32468.98</v>
      </c>
      <c r="N441" s="7">
        <f t="shared" si="25"/>
        <v>4870.3469999999998</v>
      </c>
      <c r="O441" s="7">
        <f t="shared" si="26"/>
        <v>4967.7539400000005</v>
      </c>
      <c r="P441" s="7">
        <f t="shared" si="27"/>
        <v>32566.386940000004</v>
      </c>
    </row>
    <row r="442" spans="1:16" x14ac:dyDescent="0.25">
      <c r="A442" s="2" t="s">
        <v>505</v>
      </c>
      <c r="B442" s="3">
        <v>45641</v>
      </c>
      <c r="C442" s="2" t="s">
        <v>17</v>
      </c>
      <c r="D442" s="2" t="s">
        <v>52</v>
      </c>
      <c r="E442" s="2" t="s">
        <v>19</v>
      </c>
      <c r="F442" s="2" t="s">
        <v>20</v>
      </c>
      <c r="G442" s="2" t="s">
        <v>21</v>
      </c>
      <c r="H442" s="2">
        <v>40</v>
      </c>
      <c r="I442" s="4">
        <v>495.22</v>
      </c>
      <c r="J442" s="2">
        <v>0</v>
      </c>
      <c r="K442" s="2">
        <v>18</v>
      </c>
      <c r="L442" s="2" t="s">
        <v>32</v>
      </c>
      <c r="M442" s="4">
        <f t="shared" si="24"/>
        <v>19808.800000000003</v>
      </c>
      <c r="N442" s="4">
        <f t="shared" si="25"/>
        <v>0</v>
      </c>
      <c r="O442" s="4">
        <f t="shared" si="26"/>
        <v>3565.5840000000003</v>
      </c>
      <c r="P442" s="4">
        <f t="shared" si="27"/>
        <v>23374.384000000002</v>
      </c>
    </row>
    <row r="443" spans="1:16" x14ac:dyDescent="0.25">
      <c r="A443" s="5" t="s">
        <v>506</v>
      </c>
      <c r="B443" s="6">
        <v>45483</v>
      </c>
      <c r="C443" s="5" t="s">
        <v>59</v>
      </c>
      <c r="D443" s="5" t="s">
        <v>54</v>
      </c>
      <c r="E443" s="5" t="s">
        <v>38</v>
      </c>
      <c r="F443" s="5" t="s">
        <v>70</v>
      </c>
      <c r="G443" s="5" t="s">
        <v>55</v>
      </c>
      <c r="H443" s="5">
        <v>47</v>
      </c>
      <c r="I443" s="7">
        <v>572.83000000000004</v>
      </c>
      <c r="J443" s="5">
        <v>15</v>
      </c>
      <c r="K443" s="5">
        <v>18</v>
      </c>
      <c r="L443" s="5" t="s">
        <v>32</v>
      </c>
      <c r="M443" s="7">
        <f t="shared" si="24"/>
        <v>26923.010000000002</v>
      </c>
      <c r="N443" s="7">
        <f t="shared" si="25"/>
        <v>4038.4515000000001</v>
      </c>
      <c r="O443" s="7">
        <f t="shared" si="26"/>
        <v>4119.2205300000005</v>
      </c>
      <c r="P443" s="7">
        <f t="shared" si="27"/>
        <v>27003.779030000005</v>
      </c>
    </row>
    <row r="444" spans="1:16" x14ac:dyDescent="0.25">
      <c r="A444" s="2" t="s">
        <v>507</v>
      </c>
      <c r="B444" s="3">
        <v>45334</v>
      </c>
      <c r="C444" s="2" t="s">
        <v>24</v>
      </c>
      <c r="D444" s="2" t="s">
        <v>52</v>
      </c>
      <c r="E444" s="2" t="s">
        <v>29</v>
      </c>
      <c r="F444" s="2" t="s">
        <v>65</v>
      </c>
      <c r="G444" s="2" t="s">
        <v>27</v>
      </c>
      <c r="H444" s="2">
        <v>42</v>
      </c>
      <c r="I444" s="4">
        <v>393.1</v>
      </c>
      <c r="J444" s="2">
        <v>15</v>
      </c>
      <c r="K444" s="2">
        <v>18</v>
      </c>
      <c r="L444" s="2" t="s">
        <v>22</v>
      </c>
      <c r="M444" s="4">
        <f t="shared" si="24"/>
        <v>16510.2</v>
      </c>
      <c r="N444" s="4">
        <f t="shared" si="25"/>
        <v>2476.5300000000002</v>
      </c>
      <c r="O444" s="4">
        <f t="shared" si="26"/>
        <v>2526.0605999999998</v>
      </c>
      <c r="P444" s="4">
        <f t="shared" si="27"/>
        <v>16559.730599999999</v>
      </c>
    </row>
    <row r="445" spans="1:16" x14ac:dyDescent="0.25">
      <c r="A445" s="5" t="s">
        <v>508</v>
      </c>
      <c r="B445" s="6">
        <v>45397</v>
      </c>
      <c r="C445" s="5" t="s">
        <v>59</v>
      </c>
      <c r="D445" s="5" t="s">
        <v>60</v>
      </c>
      <c r="E445" s="5" t="s">
        <v>19</v>
      </c>
      <c r="F445" s="5" t="s">
        <v>57</v>
      </c>
      <c r="G445" s="5" t="s">
        <v>21</v>
      </c>
      <c r="H445" s="5">
        <v>44</v>
      </c>
      <c r="I445" s="7">
        <v>854.18</v>
      </c>
      <c r="J445" s="5">
        <v>0</v>
      </c>
      <c r="K445" s="5">
        <v>18</v>
      </c>
      <c r="L445" s="5" t="s">
        <v>22</v>
      </c>
      <c r="M445" s="7">
        <f t="shared" si="24"/>
        <v>37583.919999999998</v>
      </c>
      <c r="N445" s="7">
        <f t="shared" si="25"/>
        <v>0</v>
      </c>
      <c r="O445" s="7">
        <f t="shared" si="26"/>
        <v>6765.105599999999</v>
      </c>
      <c r="P445" s="7">
        <f t="shared" si="27"/>
        <v>44349.025599999994</v>
      </c>
    </row>
    <row r="446" spans="1:16" x14ac:dyDescent="0.25">
      <c r="A446" s="2" t="s">
        <v>509</v>
      </c>
      <c r="B446" s="3">
        <v>45329</v>
      </c>
      <c r="C446" s="2" t="s">
        <v>59</v>
      </c>
      <c r="D446" s="2" t="s">
        <v>34</v>
      </c>
      <c r="E446" s="2" t="s">
        <v>29</v>
      </c>
      <c r="F446" s="2" t="s">
        <v>74</v>
      </c>
      <c r="G446" s="2" t="s">
        <v>27</v>
      </c>
      <c r="H446" s="2">
        <v>46</v>
      </c>
      <c r="I446" s="4">
        <v>670.11</v>
      </c>
      <c r="J446" s="2">
        <v>0</v>
      </c>
      <c r="K446" s="2">
        <v>18</v>
      </c>
      <c r="L446" s="2" t="s">
        <v>49</v>
      </c>
      <c r="M446" s="4">
        <f t="shared" si="24"/>
        <v>30825.06</v>
      </c>
      <c r="N446" s="4">
        <f t="shared" si="25"/>
        <v>0</v>
      </c>
      <c r="O446" s="4">
        <f t="shared" si="26"/>
        <v>5548.5108000000009</v>
      </c>
      <c r="P446" s="4">
        <f t="shared" si="27"/>
        <v>36373.570800000001</v>
      </c>
    </row>
    <row r="447" spans="1:16" x14ac:dyDescent="0.25">
      <c r="A447" s="5" t="s">
        <v>510</v>
      </c>
      <c r="B447" s="6">
        <v>45499</v>
      </c>
      <c r="C447" s="5" t="s">
        <v>17</v>
      </c>
      <c r="D447" s="5" t="s">
        <v>60</v>
      </c>
      <c r="E447" s="5" t="s">
        <v>19</v>
      </c>
      <c r="F447" s="5" t="s">
        <v>57</v>
      </c>
      <c r="G447" s="5" t="s">
        <v>21</v>
      </c>
      <c r="H447" s="5">
        <v>27</v>
      </c>
      <c r="I447" s="7">
        <v>782.18</v>
      </c>
      <c r="J447" s="5">
        <v>20</v>
      </c>
      <c r="K447" s="5">
        <v>18</v>
      </c>
      <c r="L447" s="5" t="s">
        <v>22</v>
      </c>
      <c r="M447" s="7">
        <f t="shared" si="24"/>
        <v>21118.859999999997</v>
      </c>
      <c r="N447" s="7">
        <f t="shared" si="25"/>
        <v>4223.7719999999999</v>
      </c>
      <c r="O447" s="7">
        <f t="shared" si="26"/>
        <v>3041.115839999999</v>
      </c>
      <c r="P447" s="7">
        <f t="shared" si="27"/>
        <v>19936.203839999995</v>
      </c>
    </row>
    <row r="448" spans="1:16" x14ac:dyDescent="0.25">
      <c r="A448" s="2" t="s">
        <v>511</v>
      </c>
      <c r="B448" s="3">
        <v>45324</v>
      </c>
      <c r="C448" s="2" t="s">
        <v>59</v>
      </c>
      <c r="D448" s="2" t="s">
        <v>54</v>
      </c>
      <c r="E448" s="2" t="s">
        <v>35</v>
      </c>
      <c r="F448" s="2" t="s">
        <v>36</v>
      </c>
      <c r="G448" s="2" t="s">
        <v>27</v>
      </c>
      <c r="H448" s="2">
        <v>1</v>
      </c>
      <c r="I448" s="4">
        <v>1286.43</v>
      </c>
      <c r="J448" s="2">
        <v>15</v>
      </c>
      <c r="K448" s="2">
        <v>18</v>
      </c>
      <c r="L448" s="2" t="s">
        <v>32</v>
      </c>
      <c r="M448" s="4">
        <f t="shared" si="24"/>
        <v>1286.43</v>
      </c>
      <c r="N448" s="4">
        <f t="shared" si="25"/>
        <v>192.96450000000002</v>
      </c>
      <c r="O448" s="4">
        <f t="shared" si="26"/>
        <v>196.82379</v>
      </c>
      <c r="P448" s="4">
        <f t="shared" si="27"/>
        <v>1290.2892899999999</v>
      </c>
    </row>
    <row r="449" spans="1:16" x14ac:dyDescent="0.25">
      <c r="A449" s="5" t="s">
        <v>512</v>
      </c>
      <c r="B449" s="6">
        <v>45436</v>
      </c>
      <c r="C449" s="5" t="s">
        <v>59</v>
      </c>
      <c r="D449" s="5" t="s">
        <v>64</v>
      </c>
      <c r="E449" s="5" t="s">
        <v>29</v>
      </c>
      <c r="F449" s="5" t="s">
        <v>80</v>
      </c>
      <c r="G449" s="5" t="s">
        <v>27</v>
      </c>
      <c r="H449" s="5">
        <v>44</v>
      </c>
      <c r="I449" s="7">
        <v>609.69000000000005</v>
      </c>
      <c r="J449" s="5">
        <v>0</v>
      </c>
      <c r="K449" s="5">
        <v>18</v>
      </c>
      <c r="L449" s="5" t="s">
        <v>22</v>
      </c>
      <c r="M449" s="7">
        <f t="shared" si="24"/>
        <v>26826.36</v>
      </c>
      <c r="N449" s="7">
        <f t="shared" si="25"/>
        <v>0</v>
      </c>
      <c r="O449" s="7">
        <f t="shared" si="26"/>
        <v>4828.7447999999995</v>
      </c>
      <c r="P449" s="7">
        <f t="shared" si="27"/>
        <v>31655.104800000001</v>
      </c>
    </row>
    <row r="450" spans="1:16" x14ac:dyDescent="0.25">
      <c r="A450" s="2" t="s">
        <v>513</v>
      </c>
      <c r="B450" s="3">
        <v>45492</v>
      </c>
      <c r="C450" s="2" t="s">
        <v>24</v>
      </c>
      <c r="D450" s="2" t="s">
        <v>25</v>
      </c>
      <c r="E450" s="2" t="s">
        <v>35</v>
      </c>
      <c r="F450" s="2" t="s">
        <v>76</v>
      </c>
      <c r="G450" s="2" t="s">
        <v>31</v>
      </c>
      <c r="H450" s="2">
        <v>35</v>
      </c>
      <c r="I450" s="4">
        <v>447.53</v>
      </c>
      <c r="J450" s="2">
        <v>20</v>
      </c>
      <c r="K450" s="2">
        <v>18</v>
      </c>
      <c r="L450" s="2" t="s">
        <v>22</v>
      </c>
      <c r="M450" s="4">
        <f t="shared" ref="M450:M501" si="28">H450*I450</f>
        <v>15663.55</v>
      </c>
      <c r="N450" s="4">
        <f t="shared" ref="N450:N513" si="29">M450*J450/100</f>
        <v>3132.71</v>
      </c>
      <c r="O450" s="4">
        <f t="shared" ref="O450:O513" si="30">(M450-N450)*K450/100</f>
        <v>2255.5511999999999</v>
      </c>
      <c r="P450" s="4">
        <f t="shared" ref="P450:P513" si="31">M450-N450+O450</f>
        <v>14786.3912</v>
      </c>
    </row>
    <row r="451" spans="1:16" x14ac:dyDescent="0.25">
      <c r="A451" s="5" t="s">
        <v>514</v>
      </c>
      <c r="B451" s="6">
        <v>45355</v>
      </c>
      <c r="C451" s="5" t="s">
        <v>47</v>
      </c>
      <c r="D451" s="5" t="s">
        <v>43</v>
      </c>
      <c r="E451" s="5" t="s">
        <v>29</v>
      </c>
      <c r="F451" s="5" t="s">
        <v>41</v>
      </c>
      <c r="G451" s="5" t="s">
        <v>55</v>
      </c>
      <c r="H451" s="5">
        <v>36</v>
      </c>
      <c r="I451" s="7">
        <v>1750.79</v>
      </c>
      <c r="J451" s="5">
        <v>0</v>
      </c>
      <c r="K451" s="5">
        <v>18</v>
      </c>
      <c r="L451" s="5" t="s">
        <v>22</v>
      </c>
      <c r="M451" s="7">
        <f t="shared" si="28"/>
        <v>63028.44</v>
      </c>
      <c r="N451" s="7">
        <f t="shared" si="29"/>
        <v>0</v>
      </c>
      <c r="O451" s="7">
        <f t="shared" si="30"/>
        <v>11345.119199999999</v>
      </c>
      <c r="P451" s="7">
        <f t="shared" si="31"/>
        <v>74373.559200000003</v>
      </c>
    </row>
    <row r="452" spans="1:16" x14ac:dyDescent="0.25">
      <c r="A452" s="2" t="s">
        <v>515</v>
      </c>
      <c r="B452" s="3">
        <v>45468</v>
      </c>
      <c r="C452" s="2" t="s">
        <v>24</v>
      </c>
      <c r="D452" s="2" t="s">
        <v>60</v>
      </c>
      <c r="E452" s="2" t="s">
        <v>19</v>
      </c>
      <c r="F452" s="2" t="s">
        <v>20</v>
      </c>
      <c r="G452" s="2" t="s">
        <v>55</v>
      </c>
      <c r="H452" s="2">
        <v>48</v>
      </c>
      <c r="I452" s="4">
        <v>1485.45</v>
      </c>
      <c r="J452" s="2">
        <v>20</v>
      </c>
      <c r="K452" s="2">
        <v>18</v>
      </c>
      <c r="L452" s="2" t="s">
        <v>22</v>
      </c>
      <c r="M452" s="4">
        <f t="shared" si="28"/>
        <v>71301.600000000006</v>
      </c>
      <c r="N452" s="4">
        <f t="shared" si="29"/>
        <v>14260.32</v>
      </c>
      <c r="O452" s="4">
        <f t="shared" si="30"/>
        <v>10267.430400000001</v>
      </c>
      <c r="P452" s="4">
        <f t="shared" si="31"/>
        <v>67308.710400000011</v>
      </c>
    </row>
    <row r="453" spans="1:16" x14ac:dyDescent="0.25">
      <c r="A453" s="5" t="s">
        <v>516</v>
      </c>
      <c r="B453" s="6">
        <v>45350</v>
      </c>
      <c r="C453" s="5" t="s">
        <v>47</v>
      </c>
      <c r="D453" s="5" t="s">
        <v>34</v>
      </c>
      <c r="E453" s="5" t="s">
        <v>44</v>
      </c>
      <c r="F453" s="5" t="s">
        <v>91</v>
      </c>
      <c r="G453" s="5" t="s">
        <v>21</v>
      </c>
      <c r="H453" s="5">
        <v>40</v>
      </c>
      <c r="I453" s="7">
        <v>1671.15</v>
      </c>
      <c r="J453" s="5">
        <v>0</v>
      </c>
      <c r="K453" s="5">
        <v>18</v>
      </c>
      <c r="L453" s="5" t="s">
        <v>22</v>
      </c>
      <c r="M453" s="7">
        <f t="shared" si="28"/>
        <v>66846</v>
      </c>
      <c r="N453" s="7">
        <f t="shared" si="29"/>
        <v>0</v>
      </c>
      <c r="O453" s="7">
        <f t="shared" si="30"/>
        <v>12032.28</v>
      </c>
      <c r="P453" s="7">
        <f t="shared" si="31"/>
        <v>78878.28</v>
      </c>
    </row>
    <row r="454" spans="1:16" x14ac:dyDescent="0.25">
      <c r="A454" s="2" t="s">
        <v>517</v>
      </c>
      <c r="B454" s="3">
        <v>45393</v>
      </c>
      <c r="C454" s="2" t="s">
        <v>59</v>
      </c>
      <c r="D454" s="2" t="s">
        <v>52</v>
      </c>
      <c r="E454" s="2" t="s">
        <v>44</v>
      </c>
      <c r="F454" s="2" t="s">
        <v>141</v>
      </c>
      <c r="G454" s="2" t="s">
        <v>27</v>
      </c>
      <c r="H454" s="2">
        <v>43</v>
      </c>
      <c r="I454" s="4">
        <v>144.05000000000001</v>
      </c>
      <c r="J454" s="2">
        <v>0</v>
      </c>
      <c r="K454" s="2">
        <v>18</v>
      </c>
      <c r="L454" s="2" t="s">
        <v>22</v>
      </c>
      <c r="M454" s="4">
        <f t="shared" si="28"/>
        <v>6194.1500000000005</v>
      </c>
      <c r="N454" s="4">
        <f t="shared" si="29"/>
        <v>0</v>
      </c>
      <c r="O454" s="4">
        <f t="shared" si="30"/>
        <v>1114.9470000000001</v>
      </c>
      <c r="P454" s="4">
        <f t="shared" si="31"/>
        <v>7309.0970000000007</v>
      </c>
    </row>
    <row r="455" spans="1:16" x14ac:dyDescent="0.25">
      <c r="A455" s="5" t="s">
        <v>518</v>
      </c>
      <c r="B455" s="6">
        <v>45391</v>
      </c>
      <c r="C455" s="5" t="s">
        <v>17</v>
      </c>
      <c r="D455" s="5" t="s">
        <v>64</v>
      </c>
      <c r="E455" s="5" t="s">
        <v>29</v>
      </c>
      <c r="F455" s="5" t="s">
        <v>74</v>
      </c>
      <c r="G455" s="5" t="s">
        <v>21</v>
      </c>
      <c r="H455" s="5">
        <v>7</v>
      </c>
      <c r="I455" s="7">
        <v>577.41999999999996</v>
      </c>
      <c r="J455" s="5">
        <v>0</v>
      </c>
      <c r="K455" s="5">
        <v>18</v>
      </c>
      <c r="L455" s="5" t="s">
        <v>22</v>
      </c>
      <c r="M455" s="7">
        <f t="shared" si="28"/>
        <v>4041.9399999999996</v>
      </c>
      <c r="N455" s="7">
        <f t="shared" si="29"/>
        <v>0</v>
      </c>
      <c r="O455" s="7">
        <f t="shared" si="30"/>
        <v>727.54919999999993</v>
      </c>
      <c r="P455" s="7">
        <f t="shared" si="31"/>
        <v>4769.4892</v>
      </c>
    </row>
    <row r="456" spans="1:16" x14ac:dyDescent="0.25">
      <c r="A456" s="2" t="s">
        <v>519</v>
      </c>
      <c r="B456" s="3">
        <v>45453</v>
      </c>
      <c r="C456" s="2" t="s">
        <v>24</v>
      </c>
      <c r="D456" s="2" t="s">
        <v>64</v>
      </c>
      <c r="E456" s="2" t="s">
        <v>38</v>
      </c>
      <c r="F456" s="2" t="s">
        <v>70</v>
      </c>
      <c r="G456" s="2" t="s">
        <v>55</v>
      </c>
      <c r="H456" s="2">
        <v>10</v>
      </c>
      <c r="I456" s="4">
        <v>1135.45</v>
      </c>
      <c r="J456" s="2">
        <v>5</v>
      </c>
      <c r="K456" s="2">
        <v>18</v>
      </c>
      <c r="L456" s="2" t="s">
        <v>32</v>
      </c>
      <c r="M456" s="4">
        <f t="shared" si="28"/>
        <v>11354.5</v>
      </c>
      <c r="N456" s="4">
        <f t="shared" si="29"/>
        <v>567.72500000000002</v>
      </c>
      <c r="O456" s="4">
        <f t="shared" si="30"/>
        <v>1941.6194999999998</v>
      </c>
      <c r="P456" s="4">
        <f t="shared" si="31"/>
        <v>12728.394499999999</v>
      </c>
    </row>
    <row r="457" spans="1:16" x14ac:dyDescent="0.25">
      <c r="A457" s="5" t="s">
        <v>520</v>
      </c>
      <c r="B457" s="6">
        <v>45433</v>
      </c>
      <c r="C457" s="5" t="s">
        <v>59</v>
      </c>
      <c r="D457" s="5" t="s">
        <v>64</v>
      </c>
      <c r="E457" s="5" t="s">
        <v>35</v>
      </c>
      <c r="F457" s="5" t="s">
        <v>88</v>
      </c>
      <c r="G457" s="5" t="s">
        <v>21</v>
      </c>
      <c r="H457" s="5">
        <v>46</v>
      </c>
      <c r="I457" s="7">
        <v>1482.23</v>
      </c>
      <c r="J457" s="5">
        <v>10</v>
      </c>
      <c r="K457" s="5">
        <v>18</v>
      </c>
      <c r="L457" s="5" t="s">
        <v>22</v>
      </c>
      <c r="M457" s="7">
        <f t="shared" si="28"/>
        <v>68182.58</v>
      </c>
      <c r="N457" s="7">
        <f t="shared" si="29"/>
        <v>6818.2580000000007</v>
      </c>
      <c r="O457" s="7">
        <f t="shared" si="30"/>
        <v>11045.577960000001</v>
      </c>
      <c r="P457" s="7">
        <f t="shared" si="31"/>
        <v>72409.899959999995</v>
      </c>
    </row>
    <row r="458" spans="1:16" x14ac:dyDescent="0.25">
      <c r="A458" s="2" t="s">
        <v>521</v>
      </c>
      <c r="B458" s="3">
        <v>45574</v>
      </c>
      <c r="C458" s="2" t="s">
        <v>17</v>
      </c>
      <c r="D458" s="2" t="s">
        <v>52</v>
      </c>
      <c r="E458" s="2" t="s">
        <v>38</v>
      </c>
      <c r="F458" s="2" t="s">
        <v>96</v>
      </c>
      <c r="G458" s="2" t="s">
        <v>31</v>
      </c>
      <c r="H458" s="2">
        <v>23</v>
      </c>
      <c r="I458" s="4">
        <v>1551.79</v>
      </c>
      <c r="J458" s="2">
        <v>10</v>
      </c>
      <c r="K458" s="2">
        <v>18</v>
      </c>
      <c r="L458" s="2" t="s">
        <v>49</v>
      </c>
      <c r="M458" s="4">
        <f t="shared" si="28"/>
        <v>35691.17</v>
      </c>
      <c r="N458" s="4">
        <f t="shared" si="29"/>
        <v>3569.1169999999997</v>
      </c>
      <c r="O458" s="4">
        <f t="shared" si="30"/>
        <v>5781.9695400000001</v>
      </c>
      <c r="P458" s="4">
        <f t="shared" si="31"/>
        <v>37904.022539999998</v>
      </c>
    </row>
    <row r="459" spans="1:16" x14ac:dyDescent="0.25">
      <c r="A459" s="5" t="s">
        <v>522</v>
      </c>
      <c r="B459" s="6">
        <v>45331</v>
      </c>
      <c r="C459" s="5" t="s">
        <v>59</v>
      </c>
      <c r="D459" s="5" t="s">
        <v>43</v>
      </c>
      <c r="E459" s="5" t="s">
        <v>19</v>
      </c>
      <c r="F459" s="5" t="s">
        <v>57</v>
      </c>
      <c r="G459" s="5" t="s">
        <v>21</v>
      </c>
      <c r="H459" s="5">
        <v>13</v>
      </c>
      <c r="I459" s="7">
        <v>533.84</v>
      </c>
      <c r="J459" s="5">
        <v>20</v>
      </c>
      <c r="K459" s="5">
        <v>18</v>
      </c>
      <c r="L459" s="5" t="s">
        <v>32</v>
      </c>
      <c r="M459" s="7">
        <f t="shared" si="28"/>
        <v>6939.92</v>
      </c>
      <c r="N459" s="7">
        <f t="shared" si="29"/>
        <v>1387.9839999999999</v>
      </c>
      <c r="O459" s="7">
        <f t="shared" si="30"/>
        <v>999.34848</v>
      </c>
      <c r="P459" s="7">
        <f t="shared" si="31"/>
        <v>6551.2844799999993</v>
      </c>
    </row>
    <row r="460" spans="1:16" x14ac:dyDescent="0.25">
      <c r="A460" s="2" t="s">
        <v>523</v>
      </c>
      <c r="B460" s="3">
        <v>45533</v>
      </c>
      <c r="C460" s="2" t="s">
        <v>59</v>
      </c>
      <c r="D460" s="2" t="s">
        <v>54</v>
      </c>
      <c r="E460" s="2" t="s">
        <v>19</v>
      </c>
      <c r="F460" s="2" t="s">
        <v>20</v>
      </c>
      <c r="G460" s="2" t="s">
        <v>21</v>
      </c>
      <c r="H460" s="2">
        <v>36</v>
      </c>
      <c r="I460" s="4">
        <v>528.63</v>
      </c>
      <c r="J460" s="2">
        <v>15</v>
      </c>
      <c r="K460" s="2">
        <v>18</v>
      </c>
      <c r="L460" s="2" t="s">
        <v>22</v>
      </c>
      <c r="M460" s="4">
        <f t="shared" si="28"/>
        <v>19030.68</v>
      </c>
      <c r="N460" s="4">
        <f t="shared" si="29"/>
        <v>2854.6020000000003</v>
      </c>
      <c r="O460" s="4">
        <f t="shared" si="30"/>
        <v>2911.6940399999999</v>
      </c>
      <c r="P460" s="4">
        <f t="shared" si="31"/>
        <v>19087.77204</v>
      </c>
    </row>
    <row r="461" spans="1:16" x14ac:dyDescent="0.25">
      <c r="A461" s="5" t="s">
        <v>524</v>
      </c>
      <c r="B461" s="6">
        <v>45495</v>
      </c>
      <c r="C461" s="5" t="s">
        <v>24</v>
      </c>
      <c r="D461" s="5" t="s">
        <v>18</v>
      </c>
      <c r="E461" s="5" t="s">
        <v>44</v>
      </c>
      <c r="F461" s="5" t="s">
        <v>93</v>
      </c>
      <c r="G461" s="5" t="s">
        <v>55</v>
      </c>
      <c r="H461" s="5">
        <v>30</v>
      </c>
      <c r="I461" s="7">
        <v>1007.24</v>
      </c>
      <c r="J461" s="5">
        <v>0</v>
      </c>
      <c r="K461" s="5">
        <v>18</v>
      </c>
      <c r="L461" s="5" t="s">
        <v>22</v>
      </c>
      <c r="M461" s="7">
        <f t="shared" si="28"/>
        <v>30217.200000000001</v>
      </c>
      <c r="N461" s="7">
        <f t="shared" si="29"/>
        <v>0</v>
      </c>
      <c r="O461" s="7">
        <f t="shared" si="30"/>
        <v>5439.0959999999995</v>
      </c>
      <c r="P461" s="7">
        <f t="shared" si="31"/>
        <v>35656.296000000002</v>
      </c>
    </row>
    <row r="462" spans="1:16" x14ac:dyDescent="0.25">
      <c r="A462" s="2" t="s">
        <v>525</v>
      </c>
      <c r="B462" s="3">
        <v>45581</v>
      </c>
      <c r="C462" s="2" t="s">
        <v>59</v>
      </c>
      <c r="D462" s="2" t="s">
        <v>18</v>
      </c>
      <c r="E462" s="2" t="s">
        <v>38</v>
      </c>
      <c r="F462" s="2" t="s">
        <v>39</v>
      </c>
      <c r="G462" s="2" t="s">
        <v>21</v>
      </c>
      <c r="H462" s="2">
        <v>9</v>
      </c>
      <c r="I462" s="4">
        <v>897.98</v>
      </c>
      <c r="J462" s="2">
        <v>0</v>
      </c>
      <c r="K462" s="2">
        <v>18</v>
      </c>
      <c r="L462" s="2" t="s">
        <v>32</v>
      </c>
      <c r="M462" s="4">
        <f t="shared" si="28"/>
        <v>8081.82</v>
      </c>
      <c r="N462" s="4">
        <f t="shared" si="29"/>
        <v>0</v>
      </c>
      <c r="O462" s="4">
        <f t="shared" si="30"/>
        <v>1454.7276000000002</v>
      </c>
      <c r="P462" s="4">
        <f t="shared" si="31"/>
        <v>9536.5475999999999</v>
      </c>
    </row>
    <row r="463" spans="1:16" x14ac:dyDescent="0.25">
      <c r="A463" s="5" t="s">
        <v>526</v>
      </c>
      <c r="B463" s="6">
        <v>45427</v>
      </c>
      <c r="C463" s="5" t="s">
        <v>24</v>
      </c>
      <c r="D463" s="5" t="s">
        <v>64</v>
      </c>
      <c r="E463" s="5" t="s">
        <v>29</v>
      </c>
      <c r="F463" s="5" t="s">
        <v>30</v>
      </c>
      <c r="G463" s="5" t="s">
        <v>27</v>
      </c>
      <c r="H463" s="5">
        <v>49</v>
      </c>
      <c r="I463" s="7">
        <v>980.41</v>
      </c>
      <c r="J463" s="5">
        <v>0</v>
      </c>
      <c r="K463" s="5">
        <v>18</v>
      </c>
      <c r="L463" s="5" t="s">
        <v>22</v>
      </c>
      <c r="M463" s="7">
        <f t="shared" si="28"/>
        <v>48040.09</v>
      </c>
      <c r="N463" s="7">
        <f t="shared" si="29"/>
        <v>0</v>
      </c>
      <c r="O463" s="7">
        <f t="shared" si="30"/>
        <v>8647.2161999999989</v>
      </c>
      <c r="P463" s="7">
        <f t="shared" si="31"/>
        <v>56687.306199999992</v>
      </c>
    </row>
    <row r="464" spans="1:16" x14ac:dyDescent="0.25">
      <c r="A464" s="2" t="s">
        <v>527</v>
      </c>
      <c r="B464" s="3">
        <v>45312</v>
      </c>
      <c r="C464" s="2" t="s">
        <v>59</v>
      </c>
      <c r="D464" s="2" t="s">
        <v>18</v>
      </c>
      <c r="E464" s="2" t="s">
        <v>38</v>
      </c>
      <c r="F464" s="2" t="s">
        <v>96</v>
      </c>
      <c r="G464" s="2" t="s">
        <v>55</v>
      </c>
      <c r="H464" s="2">
        <v>31</v>
      </c>
      <c r="I464" s="4">
        <v>1836.62</v>
      </c>
      <c r="J464" s="2">
        <v>0</v>
      </c>
      <c r="K464" s="2">
        <v>18</v>
      </c>
      <c r="L464" s="2" t="s">
        <v>49</v>
      </c>
      <c r="M464" s="4">
        <f t="shared" si="28"/>
        <v>56935.219999999994</v>
      </c>
      <c r="N464" s="4">
        <f t="shared" si="29"/>
        <v>0</v>
      </c>
      <c r="O464" s="4">
        <f t="shared" si="30"/>
        <v>10248.339599999999</v>
      </c>
      <c r="P464" s="4">
        <f t="shared" si="31"/>
        <v>67183.559599999993</v>
      </c>
    </row>
    <row r="465" spans="1:16" x14ac:dyDescent="0.25">
      <c r="A465" s="5" t="s">
        <v>528</v>
      </c>
      <c r="B465" s="6">
        <v>45626</v>
      </c>
      <c r="C465" s="5" t="s">
        <v>17</v>
      </c>
      <c r="D465" s="5" t="s">
        <v>43</v>
      </c>
      <c r="E465" s="5" t="s">
        <v>38</v>
      </c>
      <c r="F465" s="5" t="s">
        <v>48</v>
      </c>
      <c r="G465" s="5" t="s">
        <v>21</v>
      </c>
      <c r="H465" s="5">
        <v>42</v>
      </c>
      <c r="I465" s="7">
        <v>763.25</v>
      </c>
      <c r="J465" s="5">
        <v>15</v>
      </c>
      <c r="K465" s="5">
        <v>18</v>
      </c>
      <c r="L465" s="5" t="s">
        <v>49</v>
      </c>
      <c r="M465" s="7">
        <f t="shared" si="28"/>
        <v>32056.5</v>
      </c>
      <c r="N465" s="7">
        <f t="shared" si="29"/>
        <v>4808.4750000000004</v>
      </c>
      <c r="O465" s="7">
        <f t="shared" si="30"/>
        <v>4904.6445000000003</v>
      </c>
      <c r="P465" s="7">
        <f t="shared" si="31"/>
        <v>32152.669500000004</v>
      </c>
    </row>
    <row r="466" spans="1:16" x14ac:dyDescent="0.25">
      <c r="A466" s="2" t="s">
        <v>529</v>
      </c>
      <c r="B466" s="3">
        <v>45541</v>
      </c>
      <c r="C466" s="2" t="s">
        <v>17</v>
      </c>
      <c r="D466" s="2" t="s">
        <v>54</v>
      </c>
      <c r="E466" s="2" t="s">
        <v>19</v>
      </c>
      <c r="F466" s="2" t="s">
        <v>26</v>
      </c>
      <c r="G466" s="2" t="s">
        <v>21</v>
      </c>
      <c r="H466" s="2">
        <v>26</v>
      </c>
      <c r="I466" s="4">
        <v>712.27</v>
      </c>
      <c r="J466" s="2">
        <v>5</v>
      </c>
      <c r="K466" s="2">
        <v>18</v>
      </c>
      <c r="L466" s="2" t="s">
        <v>32</v>
      </c>
      <c r="M466" s="4">
        <f t="shared" si="28"/>
        <v>18519.02</v>
      </c>
      <c r="N466" s="4">
        <f t="shared" si="29"/>
        <v>925.95100000000002</v>
      </c>
      <c r="O466" s="4">
        <f t="shared" si="30"/>
        <v>3166.7524199999998</v>
      </c>
      <c r="P466" s="4">
        <f t="shared" si="31"/>
        <v>20759.82142</v>
      </c>
    </row>
    <row r="467" spans="1:16" x14ac:dyDescent="0.25">
      <c r="A467" s="5" t="s">
        <v>530</v>
      </c>
      <c r="B467" s="6">
        <v>45435</v>
      </c>
      <c r="C467" s="5" t="s">
        <v>59</v>
      </c>
      <c r="D467" s="5" t="s">
        <v>34</v>
      </c>
      <c r="E467" s="5" t="s">
        <v>35</v>
      </c>
      <c r="F467" s="5" t="s">
        <v>68</v>
      </c>
      <c r="G467" s="5" t="s">
        <v>31</v>
      </c>
      <c r="H467" s="5">
        <v>15</v>
      </c>
      <c r="I467" s="7">
        <v>163.41</v>
      </c>
      <c r="J467" s="5">
        <v>20</v>
      </c>
      <c r="K467" s="5">
        <v>18</v>
      </c>
      <c r="L467" s="5" t="s">
        <v>22</v>
      </c>
      <c r="M467" s="7">
        <f t="shared" si="28"/>
        <v>2451.15</v>
      </c>
      <c r="N467" s="7">
        <f t="shared" si="29"/>
        <v>490.23</v>
      </c>
      <c r="O467" s="7">
        <f t="shared" si="30"/>
        <v>352.96559999999999</v>
      </c>
      <c r="P467" s="7">
        <f t="shared" si="31"/>
        <v>2313.8856000000001</v>
      </c>
    </row>
    <row r="468" spans="1:16" x14ac:dyDescent="0.25">
      <c r="A468" s="2" t="s">
        <v>531</v>
      </c>
      <c r="B468" s="3">
        <v>45409</v>
      </c>
      <c r="C468" s="2" t="s">
        <v>47</v>
      </c>
      <c r="D468" s="2" t="s">
        <v>34</v>
      </c>
      <c r="E468" s="2" t="s">
        <v>44</v>
      </c>
      <c r="F468" s="2" t="s">
        <v>78</v>
      </c>
      <c r="G468" s="2" t="s">
        <v>55</v>
      </c>
      <c r="H468" s="2">
        <v>46</v>
      </c>
      <c r="I468" s="4">
        <v>1635.74</v>
      </c>
      <c r="J468" s="2">
        <v>20</v>
      </c>
      <c r="K468" s="2">
        <v>18</v>
      </c>
      <c r="L468" s="2" t="s">
        <v>32</v>
      </c>
      <c r="M468" s="4">
        <f t="shared" si="28"/>
        <v>75244.039999999994</v>
      </c>
      <c r="N468" s="4">
        <f t="shared" si="29"/>
        <v>15048.807999999997</v>
      </c>
      <c r="O468" s="4">
        <f t="shared" si="30"/>
        <v>10835.14176</v>
      </c>
      <c r="P468" s="4">
        <f t="shared" si="31"/>
        <v>71030.373760000002</v>
      </c>
    </row>
    <row r="469" spans="1:16" x14ac:dyDescent="0.25">
      <c r="A469" s="5" t="s">
        <v>532</v>
      </c>
      <c r="B469" s="6">
        <v>45502</v>
      </c>
      <c r="C469" s="5" t="s">
        <v>59</v>
      </c>
      <c r="D469" s="5" t="s">
        <v>52</v>
      </c>
      <c r="E469" s="5" t="s">
        <v>35</v>
      </c>
      <c r="F469" s="5" t="s">
        <v>36</v>
      </c>
      <c r="G469" s="5" t="s">
        <v>31</v>
      </c>
      <c r="H469" s="5">
        <v>14</v>
      </c>
      <c r="I469" s="7">
        <v>1185.67</v>
      </c>
      <c r="J469" s="5">
        <v>20</v>
      </c>
      <c r="K469" s="5">
        <v>18</v>
      </c>
      <c r="L469" s="5" t="s">
        <v>49</v>
      </c>
      <c r="M469" s="7">
        <f t="shared" si="28"/>
        <v>16599.38</v>
      </c>
      <c r="N469" s="7">
        <f t="shared" si="29"/>
        <v>3319.8760000000002</v>
      </c>
      <c r="O469" s="7">
        <f t="shared" si="30"/>
        <v>2390.3107199999999</v>
      </c>
      <c r="P469" s="7">
        <f t="shared" si="31"/>
        <v>15669.81472</v>
      </c>
    </row>
    <row r="470" spans="1:16" x14ac:dyDescent="0.25">
      <c r="A470" s="2" t="s">
        <v>533</v>
      </c>
      <c r="B470" s="3">
        <v>45367</v>
      </c>
      <c r="C470" s="2" t="s">
        <v>59</v>
      </c>
      <c r="D470" s="2" t="s">
        <v>34</v>
      </c>
      <c r="E470" s="2" t="s">
        <v>19</v>
      </c>
      <c r="F470" s="2" t="s">
        <v>57</v>
      </c>
      <c r="G470" s="2" t="s">
        <v>21</v>
      </c>
      <c r="H470" s="2">
        <v>41</v>
      </c>
      <c r="I470" s="4">
        <v>1030.1600000000001</v>
      </c>
      <c r="J470" s="2">
        <v>15</v>
      </c>
      <c r="K470" s="2">
        <v>18</v>
      </c>
      <c r="L470" s="2" t="s">
        <v>22</v>
      </c>
      <c r="M470" s="4">
        <f t="shared" si="28"/>
        <v>42236.560000000005</v>
      </c>
      <c r="N470" s="4">
        <f t="shared" si="29"/>
        <v>6335.4840000000004</v>
      </c>
      <c r="O470" s="4">
        <f t="shared" si="30"/>
        <v>6462.1936800000003</v>
      </c>
      <c r="P470" s="4">
        <f t="shared" si="31"/>
        <v>42363.269679999998</v>
      </c>
    </row>
    <row r="471" spans="1:16" x14ac:dyDescent="0.25">
      <c r="A471" s="5" t="s">
        <v>534</v>
      </c>
      <c r="B471" s="6">
        <v>45630</v>
      </c>
      <c r="C471" s="5" t="s">
        <v>17</v>
      </c>
      <c r="D471" s="5" t="s">
        <v>34</v>
      </c>
      <c r="E471" s="5" t="s">
        <v>19</v>
      </c>
      <c r="F471" s="5" t="s">
        <v>57</v>
      </c>
      <c r="G471" s="5" t="s">
        <v>31</v>
      </c>
      <c r="H471" s="5">
        <v>37</v>
      </c>
      <c r="I471" s="7">
        <v>1278.8699999999999</v>
      </c>
      <c r="J471" s="5">
        <v>20</v>
      </c>
      <c r="K471" s="5">
        <v>18</v>
      </c>
      <c r="L471" s="5" t="s">
        <v>32</v>
      </c>
      <c r="M471" s="7">
        <f t="shared" si="28"/>
        <v>47318.189999999995</v>
      </c>
      <c r="N471" s="7">
        <f t="shared" si="29"/>
        <v>9463.637999999999</v>
      </c>
      <c r="O471" s="7">
        <f t="shared" si="30"/>
        <v>6813.8193599999995</v>
      </c>
      <c r="P471" s="7">
        <f t="shared" si="31"/>
        <v>44668.371359999997</v>
      </c>
    </row>
    <row r="472" spans="1:16" x14ac:dyDescent="0.25">
      <c r="A472" s="2" t="s">
        <v>535</v>
      </c>
      <c r="B472" s="3">
        <v>45599</v>
      </c>
      <c r="C472" s="2" t="s">
        <v>47</v>
      </c>
      <c r="D472" s="2" t="s">
        <v>52</v>
      </c>
      <c r="E472" s="2" t="s">
        <v>38</v>
      </c>
      <c r="F472" s="2" t="s">
        <v>48</v>
      </c>
      <c r="G472" s="2" t="s">
        <v>31</v>
      </c>
      <c r="H472" s="2">
        <v>11</v>
      </c>
      <c r="I472" s="4">
        <v>446.53</v>
      </c>
      <c r="J472" s="2">
        <v>10</v>
      </c>
      <c r="K472" s="2">
        <v>18</v>
      </c>
      <c r="L472" s="2" t="s">
        <v>49</v>
      </c>
      <c r="M472" s="4">
        <f t="shared" si="28"/>
        <v>4911.83</v>
      </c>
      <c r="N472" s="4">
        <f t="shared" si="29"/>
        <v>491.18300000000005</v>
      </c>
      <c r="O472" s="4">
        <f t="shared" si="30"/>
        <v>795.71645999999998</v>
      </c>
      <c r="P472" s="4">
        <f t="shared" si="31"/>
        <v>5216.3634599999996</v>
      </c>
    </row>
    <row r="473" spans="1:16" x14ac:dyDescent="0.25">
      <c r="A473" s="5" t="s">
        <v>536</v>
      </c>
      <c r="B473" s="6">
        <v>45409</v>
      </c>
      <c r="C473" s="5" t="s">
        <v>47</v>
      </c>
      <c r="D473" s="5" t="s">
        <v>43</v>
      </c>
      <c r="E473" s="5" t="s">
        <v>44</v>
      </c>
      <c r="F473" s="5" t="s">
        <v>141</v>
      </c>
      <c r="G473" s="5" t="s">
        <v>21</v>
      </c>
      <c r="H473" s="5">
        <v>30</v>
      </c>
      <c r="I473" s="7">
        <v>1197.0999999999999</v>
      </c>
      <c r="J473" s="5">
        <v>0</v>
      </c>
      <c r="K473" s="5">
        <v>18</v>
      </c>
      <c r="L473" s="5" t="s">
        <v>22</v>
      </c>
      <c r="M473" s="7">
        <f t="shared" si="28"/>
        <v>35913</v>
      </c>
      <c r="N473" s="7">
        <f t="shared" si="29"/>
        <v>0</v>
      </c>
      <c r="O473" s="7">
        <f t="shared" si="30"/>
        <v>6464.34</v>
      </c>
      <c r="P473" s="7">
        <f t="shared" si="31"/>
        <v>42377.34</v>
      </c>
    </row>
    <row r="474" spans="1:16" x14ac:dyDescent="0.25">
      <c r="A474" s="2" t="s">
        <v>537</v>
      </c>
      <c r="B474" s="3">
        <v>45642</v>
      </c>
      <c r="C474" s="2" t="s">
        <v>47</v>
      </c>
      <c r="D474" s="2" t="s">
        <v>60</v>
      </c>
      <c r="E474" s="2" t="s">
        <v>35</v>
      </c>
      <c r="F474" s="2" t="s">
        <v>76</v>
      </c>
      <c r="G474" s="2" t="s">
        <v>27</v>
      </c>
      <c r="H474" s="2">
        <v>34</v>
      </c>
      <c r="I474" s="4">
        <v>1720.59</v>
      </c>
      <c r="J474" s="2">
        <v>15</v>
      </c>
      <c r="K474" s="2">
        <v>18</v>
      </c>
      <c r="L474" s="2" t="s">
        <v>22</v>
      </c>
      <c r="M474" s="4">
        <f t="shared" si="28"/>
        <v>58500.06</v>
      </c>
      <c r="N474" s="4">
        <f t="shared" si="29"/>
        <v>8775.0089999999982</v>
      </c>
      <c r="O474" s="4">
        <f t="shared" si="30"/>
        <v>8950.5091799999991</v>
      </c>
      <c r="P474" s="4">
        <f t="shared" si="31"/>
        <v>58675.56018</v>
      </c>
    </row>
    <row r="475" spans="1:16" x14ac:dyDescent="0.25">
      <c r="A475" s="5" t="s">
        <v>538</v>
      </c>
      <c r="B475" s="6">
        <v>45549</v>
      </c>
      <c r="C475" s="5" t="s">
        <v>59</v>
      </c>
      <c r="D475" s="5" t="s">
        <v>34</v>
      </c>
      <c r="E475" s="5" t="s">
        <v>35</v>
      </c>
      <c r="F475" s="5" t="s">
        <v>88</v>
      </c>
      <c r="G475" s="5" t="s">
        <v>31</v>
      </c>
      <c r="H475" s="5">
        <v>39</v>
      </c>
      <c r="I475" s="7">
        <v>87.68</v>
      </c>
      <c r="J475" s="5">
        <v>15</v>
      </c>
      <c r="K475" s="5">
        <v>18</v>
      </c>
      <c r="L475" s="5" t="s">
        <v>32</v>
      </c>
      <c r="M475" s="7">
        <f t="shared" si="28"/>
        <v>3419.5200000000004</v>
      </c>
      <c r="N475" s="7">
        <f t="shared" si="29"/>
        <v>512.928</v>
      </c>
      <c r="O475" s="7">
        <f t="shared" si="30"/>
        <v>523.1865600000001</v>
      </c>
      <c r="P475" s="7">
        <f t="shared" si="31"/>
        <v>3429.7785600000007</v>
      </c>
    </row>
    <row r="476" spans="1:16" x14ac:dyDescent="0.25">
      <c r="A476" s="2" t="s">
        <v>539</v>
      </c>
      <c r="B476" s="3">
        <v>45649</v>
      </c>
      <c r="C476" s="2" t="s">
        <v>24</v>
      </c>
      <c r="D476" s="2" t="s">
        <v>34</v>
      </c>
      <c r="E476" s="2" t="s">
        <v>19</v>
      </c>
      <c r="F476" s="2" t="s">
        <v>20</v>
      </c>
      <c r="G476" s="2" t="s">
        <v>27</v>
      </c>
      <c r="H476" s="2">
        <v>34</v>
      </c>
      <c r="I476" s="4">
        <v>847.16</v>
      </c>
      <c r="J476" s="2">
        <v>0</v>
      </c>
      <c r="K476" s="2">
        <v>18</v>
      </c>
      <c r="L476" s="2" t="s">
        <v>49</v>
      </c>
      <c r="M476" s="4">
        <f t="shared" si="28"/>
        <v>28803.439999999999</v>
      </c>
      <c r="N476" s="4">
        <f t="shared" si="29"/>
        <v>0</v>
      </c>
      <c r="O476" s="4">
        <f t="shared" si="30"/>
        <v>5184.6192000000001</v>
      </c>
      <c r="P476" s="4">
        <f t="shared" si="31"/>
        <v>33988.059199999996</v>
      </c>
    </row>
    <row r="477" spans="1:16" x14ac:dyDescent="0.25">
      <c r="A477" s="5" t="s">
        <v>540</v>
      </c>
      <c r="B477" s="6">
        <v>45586</v>
      </c>
      <c r="C477" s="5" t="s">
        <v>47</v>
      </c>
      <c r="D477" s="5" t="s">
        <v>52</v>
      </c>
      <c r="E477" s="5" t="s">
        <v>29</v>
      </c>
      <c r="F477" s="5" t="s">
        <v>74</v>
      </c>
      <c r="G477" s="5" t="s">
        <v>31</v>
      </c>
      <c r="H477" s="5">
        <v>38</v>
      </c>
      <c r="I477" s="7">
        <v>1611.2</v>
      </c>
      <c r="J477" s="5">
        <v>20</v>
      </c>
      <c r="K477" s="5">
        <v>18</v>
      </c>
      <c r="L477" s="5" t="s">
        <v>22</v>
      </c>
      <c r="M477" s="7">
        <f t="shared" si="28"/>
        <v>61225.599999999999</v>
      </c>
      <c r="N477" s="7">
        <f t="shared" si="29"/>
        <v>12245.12</v>
      </c>
      <c r="O477" s="7">
        <f t="shared" si="30"/>
        <v>8816.4863999999998</v>
      </c>
      <c r="P477" s="7">
        <f t="shared" si="31"/>
        <v>57796.966399999998</v>
      </c>
    </row>
    <row r="478" spans="1:16" x14ac:dyDescent="0.25">
      <c r="A478" s="2" t="s">
        <v>541</v>
      </c>
      <c r="B478" s="3">
        <v>45501</v>
      </c>
      <c r="C478" s="2" t="s">
        <v>47</v>
      </c>
      <c r="D478" s="2" t="s">
        <v>43</v>
      </c>
      <c r="E478" s="2" t="s">
        <v>19</v>
      </c>
      <c r="F478" s="2" t="s">
        <v>157</v>
      </c>
      <c r="G478" s="2" t="s">
        <v>31</v>
      </c>
      <c r="H478" s="2">
        <v>6</v>
      </c>
      <c r="I478" s="4">
        <v>573.70000000000005</v>
      </c>
      <c r="J478" s="2">
        <v>15</v>
      </c>
      <c r="K478" s="2">
        <v>18</v>
      </c>
      <c r="L478" s="2" t="s">
        <v>22</v>
      </c>
      <c r="M478" s="4">
        <f t="shared" si="28"/>
        <v>3442.2000000000003</v>
      </c>
      <c r="N478" s="4">
        <f t="shared" si="29"/>
        <v>516.33000000000004</v>
      </c>
      <c r="O478" s="4">
        <f t="shared" si="30"/>
        <v>526.65660000000003</v>
      </c>
      <c r="P478" s="4">
        <f t="shared" si="31"/>
        <v>3452.5266000000001</v>
      </c>
    </row>
    <row r="479" spans="1:16" x14ac:dyDescent="0.25">
      <c r="A479" s="5" t="s">
        <v>542</v>
      </c>
      <c r="B479" s="6">
        <v>45644</v>
      </c>
      <c r="C479" s="5" t="s">
        <v>59</v>
      </c>
      <c r="D479" s="5" t="s">
        <v>25</v>
      </c>
      <c r="E479" s="5" t="s">
        <v>38</v>
      </c>
      <c r="F479" s="5" t="s">
        <v>96</v>
      </c>
      <c r="G479" s="5" t="s">
        <v>27</v>
      </c>
      <c r="H479" s="5">
        <v>1</v>
      </c>
      <c r="I479" s="7">
        <v>756.31</v>
      </c>
      <c r="J479" s="5">
        <v>0</v>
      </c>
      <c r="K479" s="5">
        <v>18</v>
      </c>
      <c r="L479" s="5" t="s">
        <v>32</v>
      </c>
      <c r="M479" s="7">
        <f t="shared" si="28"/>
        <v>756.31</v>
      </c>
      <c r="N479" s="7">
        <f t="shared" si="29"/>
        <v>0</v>
      </c>
      <c r="O479" s="7">
        <f t="shared" si="30"/>
        <v>136.13579999999999</v>
      </c>
      <c r="P479" s="7">
        <f t="shared" si="31"/>
        <v>892.44579999999996</v>
      </c>
    </row>
    <row r="480" spans="1:16" x14ac:dyDescent="0.25">
      <c r="A480" s="2" t="s">
        <v>543</v>
      </c>
      <c r="B480" s="3">
        <v>45566</v>
      </c>
      <c r="C480" s="2" t="s">
        <v>17</v>
      </c>
      <c r="D480" s="2" t="s">
        <v>60</v>
      </c>
      <c r="E480" s="2" t="s">
        <v>38</v>
      </c>
      <c r="F480" s="2" t="s">
        <v>70</v>
      </c>
      <c r="G480" s="2" t="s">
        <v>21</v>
      </c>
      <c r="H480" s="2">
        <v>42</v>
      </c>
      <c r="I480" s="4">
        <v>1174.8900000000001</v>
      </c>
      <c r="J480" s="2">
        <v>5</v>
      </c>
      <c r="K480" s="2">
        <v>18</v>
      </c>
      <c r="L480" s="2" t="s">
        <v>49</v>
      </c>
      <c r="M480" s="4">
        <f t="shared" si="28"/>
        <v>49345.380000000005</v>
      </c>
      <c r="N480" s="4">
        <f t="shared" si="29"/>
        <v>2467.2690000000002</v>
      </c>
      <c r="O480" s="4">
        <f t="shared" si="30"/>
        <v>8438.0599800000018</v>
      </c>
      <c r="P480" s="4">
        <f t="shared" si="31"/>
        <v>55316.17098000001</v>
      </c>
    </row>
    <row r="481" spans="1:16" x14ac:dyDescent="0.25">
      <c r="A481" s="5" t="s">
        <v>544</v>
      </c>
      <c r="B481" s="6">
        <v>45539</v>
      </c>
      <c r="C481" s="5" t="s">
        <v>17</v>
      </c>
      <c r="D481" s="5" t="s">
        <v>43</v>
      </c>
      <c r="E481" s="5" t="s">
        <v>35</v>
      </c>
      <c r="F481" s="5" t="s">
        <v>68</v>
      </c>
      <c r="G481" s="5" t="s">
        <v>31</v>
      </c>
      <c r="H481" s="5">
        <v>27</v>
      </c>
      <c r="I481" s="7">
        <v>1108.69</v>
      </c>
      <c r="J481" s="5">
        <v>15</v>
      </c>
      <c r="K481" s="5">
        <v>18</v>
      </c>
      <c r="L481" s="5" t="s">
        <v>22</v>
      </c>
      <c r="M481" s="7">
        <f t="shared" si="28"/>
        <v>29934.63</v>
      </c>
      <c r="N481" s="7">
        <f t="shared" si="29"/>
        <v>4490.1945000000005</v>
      </c>
      <c r="O481" s="7">
        <f t="shared" si="30"/>
        <v>4579.9983899999997</v>
      </c>
      <c r="P481" s="7">
        <f t="shared" si="31"/>
        <v>30024.43389</v>
      </c>
    </row>
    <row r="482" spans="1:16" x14ac:dyDescent="0.25">
      <c r="A482" s="2" t="s">
        <v>545</v>
      </c>
      <c r="B482" s="3">
        <v>45362</v>
      </c>
      <c r="C482" s="2" t="s">
        <v>24</v>
      </c>
      <c r="D482" s="2" t="s">
        <v>43</v>
      </c>
      <c r="E482" s="2" t="s">
        <v>44</v>
      </c>
      <c r="F482" s="2" t="s">
        <v>93</v>
      </c>
      <c r="G482" s="2" t="s">
        <v>55</v>
      </c>
      <c r="H482" s="2">
        <v>23</v>
      </c>
      <c r="I482" s="4">
        <v>1550.65</v>
      </c>
      <c r="J482" s="2">
        <v>10</v>
      </c>
      <c r="K482" s="2">
        <v>18</v>
      </c>
      <c r="L482" s="2" t="s">
        <v>32</v>
      </c>
      <c r="M482" s="4">
        <f t="shared" si="28"/>
        <v>35664.950000000004</v>
      </c>
      <c r="N482" s="4">
        <f t="shared" si="29"/>
        <v>3566.4950000000008</v>
      </c>
      <c r="O482" s="4">
        <f t="shared" si="30"/>
        <v>5777.7219000000005</v>
      </c>
      <c r="P482" s="4">
        <f t="shared" si="31"/>
        <v>37876.176900000006</v>
      </c>
    </row>
    <row r="483" spans="1:16" x14ac:dyDescent="0.25">
      <c r="A483" s="5" t="s">
        <v>546</v>
      </c>
      <c r="B483" s="6">
        <v>45573</v>
      </c>
      <c r="C483" s="5" t="s">
        <v>24</v>
      </c>
      <c r="D483" s="5" t="s">
        <v>34</v>
      </c>
      <c r="E483" s="5" t="s">
        <v>19</v>
      </c>
      <c r="F483" s="5" t="s">
        <v>57</v>
      </c>
      <c r="G483" s="5" t="s">
        <v>27</v>
      </c>
      <c r="H483" s="5">
        <v>33</v>
      </c>
      <c r="I483" s="7">
        <v>807.12</v>
      </c>
      <c r="J483" s="5">
        <v>5</v>
      </c>
      <c r="K483" s="5">
        <v>18</v>
      </c>
      <c r="L483" s="5" t="s">
        <v>22</v>
      </c>
      <c r="M483" s="7">
        <f t="shared" si="28"/>
        <v>26634.959999999999</v>
      </c>
      <c r="N483" s="7">
        <f t="shared" si="29"/>
        <v>1331.7479999999998</v>
      </c>
      <c r="O483" s="7">
        <f t="shared" si="30"/>
        <v>4554.57816</v>
      </c>
      <c r="P483" s="7">
        <f t="shared" si="31"/>
        <v>29857.79016</v>
      </c>
    </row>
    <row r="484" spans="1:16" x14ac:dyDescent="0.25">
      <c r="A484" s="2" t="s">
        <v>547</v>
      </c>
      <c r="B484" s="3">
        <v>45514</v>
      </c>
      <c r="C484" s="2" t="s">
        <v>47</v>
      </c>
      <c r="D484" s="2" t="s">
        <v>54</v>
      </c>
      <c r="E484" s="2" t="s">
        <v>29</v>
      </c>
      <c r="F484" s="2" t="s">
        <v>80</v>
      </c>
      <c r="G484" s="2" t="s">
        <v>27</v>
      </c>
      <c r="H484" s="2">
        <v>10</v>
      </c>
      <c r="I484" s="4">
        <v>948.62</v>
      </c>
      <c r="J484" s="2">
        <v>15</v>
      </c>
      <c r="K484" s="2">
        <v>18</v>
      </c>
      <c r="L484" s="2" t="s">
        <v>22</v>
      </c>
      <c r="M484" s="4">
        <f t="shared" si="28"/>
        <v>9486.2000000000007</v>
      </c>
      <c r="N484" s="4">
        <f t="shared" si="29"/>
        <v>1422.93</v>
      </c>
      <c r="O484" s="4">
        <f t="shared" si="30"/>
        <v>1451.3886000000002</v>
      </c>
      <c r="P484" s="4">
        <f t="shared" si="31"/>
        <v>9514.6586000000007</v>
      </c>
    </row>
    <row r="485" spans="1:16" x14ac:dyDescent="0.25">
      <c r="A485" s="5" t="s">
        <v>548</v>
      </c>
      <c r="B485" s="6">
        <v>45497</v>
      </c>
      <c r="C485" s="5" t="s">
        <v>17</v>
      </c>
      <c r="D485" s="5" t="s">
        <v>18</v>
      </c>
      <c r="E485" s="5" t="s">
        <v>19</v>
      </c>
      <c r="F485" s="5" t="s">
        <v>20</v>
      </c>
      <c r="G485" s="5" t="s">
        <v>55</v>
      </c>
      <c r="H485" s="5">
        <v>39</v>
      </c>
      <c r="I485" s="7">
        <v>85.13</v>
      </c>
      <c r="J485" s="5">
        <v>10</v>
      </c>
      <c r="K485" s="5">
        <v>18</v>
      </c>
      <c r="L485" s="5" t="s">
        <v>22</v>
      </c>
      <c r="M485" s="7">
        <f t="shared" si="28"/>
        <v>3320.0699999999997</v>
      </c>
      <c r="N485" s="7">
        <f t="shared" si="29"/>
        <v>332.00699999999995</v>
      </c>
      <c r="O485" s="7">
        <f t="shared" si="30"/>
        <v>537.85133999999994</v>
      </c>
      <c r="P485" s="7">
        <f t="shared" si="31"/>
        <v>3525.9143399999994</v>
      </c>
    </row>
    <row r="486" spans="1:16" x14ac:dyDescent="0.25">
      <c r="A486" s="2" t="s">
        <v>549</v>
      </c>
      <c r="B486" s="3">
        <v>45557</v>
      </c>
      <c r="C486" s="2" t="s">
        <v>17</v>
      </c>
      <c r="D486" s="2" t="s">
        <v>25</v>
      </c>
      <c r="E486" s="2" t="s">
        <v>29</v>
      </c>
      <c r="F486" s="2" t="s">
        <v>65</v>
      </c>
      <c r="G486" s="2" t="s">
        <v>21</v>
      </c>
      <c r="H486" s="2">
        <v>29</v>
      </c>
      <c r="I486" s="4">
        <v>31.31</v>
      </c>
      <c r="J486" s="2">
        <v>20</v>
      </c>
      <c r="K486" s="2">
        <v>18</v>
      </c>
      <c r="L486" s="2" t="s">
        <v>49</v>
      </c>
      <c r="M486" s="4">
        <f t="shared" si="28"/>
        <v>907.99</v>
      </c>
      <c r="N486" s="4">
        <f t="shared" si="29"/>
        <v>181.59799999999998</v>
      </c>
      <c r="O486" s="4">
        <f t="shared" si="30"/>
        <v>130.75056000000001</v>
      </c>
      <c r="P486" s="4">
        <f t="shared" si="31"/>
        <v>857.14256</v>
      </c>
    </row>
    <row r="487" spans="1:16" x14ac:dyDescent="0.25">
      <c r="A487" s="5" t="s">
        <v>550</v>
      </c>
      <c r="B487" s="6">
        <v>45372</v>
      </c>
      <c r="C487" s="5" t="s">
        <v>59</v>
      </c>
      <c r="D487" s="5" t="s">
        <v>18</v>
      </c>
      <c r="E487" s="5" t="s">
        <v>38</v>
      </c>
      <c r="F487" s="5" t="s">
        <v>96</v>
      </c>
      <c r="G487" s="5" t="s">
        <v>21</v>
      </c>
      <c r="H487" s="5">
        <v>24</v>
      </c>
      <c r="I487" s="7">
        <v>486.12</v>
      </c>
      <c r="J487" s="5">
        <v>0</v>
      </c>
      <c r="K487" s="5">
        <v>18</v>
      </c>
      <c r="L487" s="5" t="s">
        <v>22</v>
      </c>
      <c r="M487" s="7">
        <f t="shared" si="28"/>
        <v>11666.880000000001</v>
      </c>
      <c r="N487" s="7">
        <f t="shared" si="29"/>
        <v>0</v>
      </c>
      <c r="O487" s="7">
        <f t="shared" si="30"/>
        <v>2100.0384000000004</v>
      </c>
      <c r="P487" s="7">
        <f t="shared" si="31"/>
        <v>13766.918400000002</v>
      </c>
    </row>
    <row r="488" spans="1:16" x14ac:dyDescent="0.25">
      <c r="A488" s="2" t="s">
        <v>551</v>
      </c>
      <c r="B488" s="3">
        <v>45652</v>
      </c>
      <c r="C488" s="2" t="s">
        <v>24</v>
      </c>
      <c r="D488" s="2" t="s">
        <v>64</v>
      </c>
      <c r="E488" s="2" t="s">
        <v>19</v>
      </c>
      <c r="F488" s="2" t="s">
        <v>62</v>
      </c>
      <c r="G488" s="2" t="s">
        <v>31</v>
      </c>
      <c r="H488" s="2">
        <v>38</v>
      </c>
      <c r="I488" s="4">
        <v>408.62</v>
      </c>
      <c r="J488" s="2">
        <v>0</v>
      </c>
      <c r="K488" s="2">
        <v>18</v>
      </c>
      <c r="L488" s="2" t="s">
        <v>49</v>
      </c>
      <c r="M488" s="4">
        <f t="shared" si="28"/>
        <v>15527.56</v>
      </c>
      <c r="N488" s="4">
        <f t="shared" si="29"/>
        <v>0</v>
      </c>
      <c r="O488" s="4">
        <f t="shared" si="30"/>
        <v>2794.9608000000003</v>
      </c>
      <c r="P488" s="4">
        <f t="shared" si="31"/>
        <v>18322.520799999998</v>
      </c>
    </row>
    <row r="489" spans="1:16" x14ac:dyDescent="0.25">
      <c r="A489" s="5" t="s">
        <v>552</v>
      </c>
      <c r="B489" s="6">
        <v>45524</v>
      </c>
      <c r="C489" s="5" t="s">
        <v>17</v>
      </c>
      <c r="D489" s="5" t="s">
        <v>64</v>
      </c>
      <c r="E489" s="5" t="s">
        <v>19</v>
      </c>
      <c r="F489" s="5" t="s">
        <v>20</v>
      </c>
      <c r="G489" s="5" t="s">
        <v>55</v>
      </c>
      <c r="H489" s="5">
        <v>15</v>
      </c>
      <c r="I489" s="7">
        <v>1216.6600000000001</v>
      </c>
      <c r="J489" s="5">
        <v>0</v>
      </c>
      <c r="K489" s="5">
        <v>18</v>
      </c>
      <c r="L489" s="5" t="s">
        <v>22</v>
      </c>
      <c r="M489" s="7">
        <f t="shared" si="28"/>
        <v>18249.900000000001</v>
      </c>
      <c r="N489" s="7">
        <f t="shared" si="29"/>
        <v>0</v>
      </c>
      <c r="O489" s="7">
        <f t="shared" si="30"/>
        <v>3284.982</v>
      </c>
      <c r="P489" s="7">
        <f t="shared" si="31"/>
        <v>21534.882000000001</v>
      </c>
    </row>
    <row r="490" spans="1:16" x14ac:dyDescent="0.25">
      <c r="A490" s="2" t="s">
        <v>553</v>
      </c>
      <c r="B490" s="3">
        <v>45549</v>
      </c>
      <c r="C490" s="2" t="s">
        <v>59</v>
      </c>
      <c r="D490" s="2" t="s">
        <v>43</v>
      </c>
      <c r="E490" s="2" t="s">
        <v>35</v>
      </c>
      <c r="F490" s="2" t="s">
        <v>68</v>
      </c>
      <c r="G490" s="2" t="s">
        <v>21</v>
      </c>
      <c r="H490" s="2">
        <v>33</v>
      </c>
      <c r="I490" s="4">
        <v>221.87</v>
      </c>
      <c r="J490" s="2">
        <v>0</v>
      </c>
      <c r="K490" s="2">
        <v>18</v>
      </c>
      <c r="L490" s="2" t="s">
        <v>49</v>
      </c>
      <c r="M490" s="4">
        <f t="shared" si="28"/>
        <v>7321.71</v>
      </c>
      <c r="N490" s="4">
        <f t="shared" si="29"/>
        <v>0</v>
      </c>
      <c r="O490" s="4">
        <f t="shared" si="30"/>
        <v>1317.9078</v>
      </c>
      <c r="P490" s="4">
        <f t="shared" si="31"/>
        <v>8639.6178</v>
      </c>
    </row>
    <row r="491" spans="1:16" x14ac:dyDescent="0.25">
      <c r="A491" s="5" t="s">
        <v>554</v>
      </c>
      <c r="B491" s="6">
        <v>45465</v>
      </c>
      <c r="C491" s="5" t="s">
        <v>59</v>
      </c>
      <c r="D491" s="5" t="s">
        <v>43</v>
      </c>
      <c r="E491" s="5" t="s">
        <v>38</v>
      </c>
      <c r="F491" s="5" t="s">
        <v>135</v>
      </c>
      <c r="G491" s="5" t="s">
        <v>55</v>
      </c>
      <c r="H491" s="5">
        <v>25</v>
      </c>
      <c r="I491" s="7">
        <v>1130.71</v>
      </c>
      <c r="J491" s="5">
        <v>0</v>
      </c>
      <c r="K491" s="5">
        <v>18</v>
      </c>
      <c r="L491" s="5" t="s">
        <v>49</v>
      </c>
      <c r="M491" s="7">
        <f t="shared" si="28"/>
        <v>28267.75</v>
      </c>
      <c r="N491" s="7">
        <f t="shared" si="29"/>
        <v>0</v>
      </c>
      <c r="O491" s="7">
        <f t="shared" si="30"/>
        <v>5088.1949999999997</v>
      </c>
      <c r="P491" s="7">
        <f t="shared" si="31"/>
        <v>33355.945</v>
      </c>
    </row>
    <row r="492" spans="1:16" x14ac:dyDescent="0.25">
      <c r="A492" s="2" t="s">
        <v>555</v>
      </c>
      <c r="B492" s="3">
        <v>45638</v>
      </c>
      <c r="C492" s="2" t="s">
        <v>59</v>
      </c>
      <c r="D492" s="2" t="s">
        <v>52</v>
      </c>
      <c r="E492" s="2" t="s">
        <v>35</v>
      </c>
      <c r="F492" s="2" t="s">
        <v>76</v>
      </c>
      <c r="G492" s="2" t="s">
        <v>27</v>
      </c>
      <c r="H492" s="2">
        <v>5</v>
      </c>
      <c r="I492" s="4">
        <v>771.52</v>
      </c>
      <c r="J492" s="2">
        <v>0</v>
      </c>
      <c r="K492" s="2">
        <v>18</v>
      </c>
      <c r="L492" s="2" t="s">
        <v>22</v>
      </c>
      <c r="M492" s="4">
        <f t="shared" si="28"/>
        <v>3857.6</v>
      </c>
      <c r="N492" s="4">
        <f t="shared" si="29"/>
        <v>0</v>
      </c>
      <c r="O492" s="4">
        <f t="shared" si="30"/>
        <v>694.36800000000005</v>
      </c>
      <c r="P492" s="4">
        <f t="shared" si="31"/>
        <v>4551.9679999999998</v>
      </c>
    </row>
    <row r="493" spans="1:16" x14ac:dyDescent="0.25">
      <c r="A493" s="5" t="s">
        <v>556</v>
      </c>
      <c r="B493" s="6">
        <v>45636</v>
      </c>
      <c r="C493" s="5" t="s">
        <v>24</v>
      </c>
      <c r="D493" s="5" t="s">
        <v>64</v>
      </c>
      <c r="E493" s="5" t="s">
        <v>44</v>
      </c>
      <c r="F493" s="5" t="s">
        <v>93</v>
      </c>
      <c r="G493" s="5" t="s">
        <v>27</v>
      </c>
      <c r="H493" s="5">
        <v>16</v>
      </c>
      <c r="I493" s="7">
        <v>581.71</v>
      </c>
      <c r="J493" s="5">
        <v>10</v>
      </c>
      <c r="K493" s="5">
        <v>18</v>
      </c>
      <c r="L493" s="5" t="s">
        <v>22</v>
      </c>
      <c r="M493" s="7">
        <f t="shared" si="28"/>
        <v>9307.36</v>
      </c>
      <c r="N493" s="7">
        <f t="shared" si="29"/>
        <v>930.7360000000001</v>
      </c>
      <c r="O493" s="7">
        <f t="shared" si="30"/>
        <v>1507.7923199999998</v>
      </c>
      <c r="P493" s="7">
        <f t="shared" si="31"/>
        <v>9884.4163200000003</v>
      </c>
    </row>
    <row r="494" spans="1:16" x14ac:dyDescent="0.25">
      <c r="A494" s="2" t="s">
        <v>557</v>
      </c>
      <c r="B494" s="3">
        <v>45385</v>
      </c>
      <c r="C494" s="2" t="s">
        <v>47</v>
      </c>
      <c r="D494" s="2" t="s">
        <v>52</v>
      </c>
      <c r="E494" s="2" t="s">
        <v>38</v>
      </c>
      <c r="F494" s="2" t="s">
        <v>48</v>
      </c>
      <c r="G494" s="2" t="s">
        <v>55</v>
      </c>
      <c r="H494" s="2">
        <v>14</v>
      </c>
      <c r="I494" s="4">
        <v>1789.69</v>
      </c>
      <c r="J494" s="2">
        <v>5</v>
      </c>
      <c r="K494" s="2">
        <v>18</v>
      </c>
      <c r="L494" s="2" t="s">
        <v>22</v>
      </c>
      <c r="M494" s="4">
        <f t="shared" si="28"/>
        <v>25055.66</v>
      </c>
      <c r="N494" s="4">
        <f t="shared" si="29"/>
        <v>1252.7830000000001</v>
      </c>
      <c r="O494" s="4">
        <f t="shared" si="30"/>
        <v>4284.5178599999999</v>
      </c>
      <c r="P494" s="4">
        <f t="shared" si="31"/>
        <v>28087.39486</v>
      </c>
    </row>
    <row r="495" spans="1:16" x14ac:dyDescent="0.25">
      <c r="A495" s="5" t="s">
        <v>558</v>
      </c>
      <c r="B495" s="6">
        <v>45608</v>
      </c>
      <c r="C495" s="5" t="s">
        <v>47</v>
      </c>
      <c r="D495" s="5" t="s">
        <v>18</v>
      </c>
      <c r="E495" s="5" t="s">
        <v>44</v>
      </c>
      <c r="F495" s="5" t="s">
        <v>91</v>
      </c>
      <c r="G495" s="5" t="s">
        <v>21</v>
      </c>
      <c r="H495" s="5">
        <v>14</v>
      </c>
      <c r="I495" s="7">
        <v>466.12</v>
      </c>
      <c r="J495" s="5">
        <v>0</v>
      </c>
      <c r="K495" s="5">
        <v>18</v>
      </c>
      <c r="L495" s="5" t="s">
        <v>22</v>
      </c>
      <c r="M495" s="7">
        <f t="shared" si="28"/>
        <v>6525.68</v>
      </c>
      <c r="N495" s="7">
        <f t="shared" si="29"/>
        <v>0</v>
      </c>
      <c r="O495" s="7">
        <f t="shared" si="30"/>
        <v>1174.6224</v>
      </c>
      <c r="P495" s="7">
        <f t="shared" si="31"/>
        <v>7700.3024000000005</v>
      </c>
    </row>
    <row r="496" spans="1:16" x14ac:dyDescent="0.25">
      <c r="A496" s="2" t="s">
        <v>559</v>
      </c>
      <c r="B496" s="3">
        <v>45313</v>
      </c>
      <c r="C496" s="2" t="s">
        <v>59</v>
      </c>
      <c r="D496" s="2" t="s">
        <v>60</v>
      </c>
      <c r="E496" s="2" t="s">
        <v>38</v>
      </c>
      <c r="F496" s="2" t="s">
        <v>96</v>
      </c>
      <c r="G496" s="2" t="s">
        <v>27</v>
      </c>
      <c r="H496" s="2">
        <v>40</v>
      </c>
      <c r="I496" s="4">
        <v>23.18</v>
      </c>
      <c r="J496" s="2">
        <v>15</v>
      </c>
      <c r="K496" s="2">
        <v>18</v>
      </c>
      <c r="L496" s="2" t="s">
        <v>49</v>
      </c>
      <c r="M496" s="4">
        <f t="shared" si="28"/>
        <v>927.2</v>
      </c>
      <c r="N496" s="4">
        <f t="shared" si="29"/>
        <v>139.08000000000001</v>
      </c>
      <c r="O496" s="4">
        <f t="shared" si="30"/>
        <v>141.86160000000001</v>
      </c>
      <c r="P496" s="4">
        <f t="shared" si="31"/>
        <v>929.98160000000007</v>
      </c>
    </row>
    <row r="497" spans="1:16" x14ac:dyDescent="0.25">
      <c r="A497" s="5" t="s">
        <v>560</v>
      </c>
      <c r="B497" s="6">
        <v>45435</v>
      </c>
      <c r="C497" s="5" t="s">
        <v>17</v>
      </c>
      <c r="D497" s="5" t="s">
        <v>52</v>
      </c>
      <c r="E497" s="5" t="s">
        <v>35</v>
      </c>
      <c r="F497" s="5" t="s">
        <v>36</v>
      </c>
      <c r="G497" s="5" t="s">
        <v>55</v>
      </c>
      <c r="H497" s="5">
        <v>12</v>
      </c>
      <c r="I497" s="7">
        <v>1968.95</v>
      </c>
      <c r="J497" s="5">
        <v>15</v>
      </c>
      <c r="K497" s="5">
        <v>18</v>
      </c>
      <c r="L497" s="5" t="s">
        <v>49</v>
      </c>
      <c r="M497" s="7">
        <f t="shared" si="28"/>
        <v>23627.4</v>
      </c>
      <c r="N497" s="7">
        <f t="shared" si="29"/>
        <v>3544.11</v>
      </c>
      <c r="O497" s="7">
        <f t="shared" si="30"/>
        <v>3614.9922000000001</v>
      </c>
      <c r="P497" s="7">
        <f t="shared" si="31"/>
        <v>23698.282200000001</v>
      </c>
    </row>
    <row r="498" spans="1:16" x14ac:dyDescent="0.25">
      <c r="A498" s="2" t="s">
        <v>561</v>
      </c>
      <c r="B498" s="3">
        <v>45493</v>
      </c>
      <c r="C498" s="2" t="s">
        <v>47</v>
      </c>
      <c r="D498" s="2" t="s">
        <v>25</v>
      </c>
      <c r="E498" s="2" t="s">
        <v>35</v>
      </c>
      <c r="F498" s="2" t="s">
        <v>88</v>
      </c>
      <c r="G498" s="2" t="s">
        <v>31</v>
      </c>
      <c r="H498" s="2">
        <v>35</v>
      </c>
      <c r="I498" s="4">
        <v>74.8</v>
      </c>
      <c r="J498" s="2">
        <v>5</v>
      </c>
      <c r="K498" s="2">
        <v>18</v>
      </c>
      <c r="L498" s="2" t="s">
        <v>49</v>
      </c>
      <c r="M498" s="4">
        <f t="shared" si="28"/>
        <v>2618</v>
      </c>
      <c r="N498" s="4">
        <f t="shared" si="29"/>
        <v>130.9</v>
      </c>
      <c r="O498" s="4">
        <f t="shared" si="30"/>
        <v>447.67799999999994</v>
      </c>
      <c r="P498" s="4">
        <f t="shared" si="31"/>
        <v>2934.7779999999998</v>
      </c>
    </row>
    <row r="499" spans="1:16" x14ac:dyDescent="0.25">
      <c r="A499" s="5" t="s">
        <v>562</v>
      </c>
      <c r="B499" s="6">
        <v>45589</v>
      </c>
      <c r="C499" s="5" t="s">
        <v>59</v>
      </c>
      <c r="D499" s="5" t="s">
        <v>52</v>
      </c>
      <c r="E499" s="5" t="s">
        <v>44</v>
      </c>
      <c r="F499" s="5" t="s">
        <v>91</v>
      </c>
      <c r="G499" s="5" t="s">
        <v>55</v>
      </c>
      <c r="H499" s="5">
        <v>1</v>
      </c>
      <c r="I499" s="7">
        <v>1351.47</v>
      </c>
      <c r="J499" s="5">
        <v>10</v>
      </c>
      <c r="K499" s="5">
        <v>18</v>
      </c>
      <c r="L499" s="5" t="s">
        <v>22</v>
      </c>
      <c r="M499" s="7">
        <f t="shared" si="28"/>
        <v>1351.47</v>
      </c>
      <c r="N499" s="7">
        <f t="shared" si="29"/>
        <v>135.14700000000002</v>
      </c>
      <c r="O499" s="7">
        <f t="shared" si="30"/>
        <v>218.93814000000003</v>
      </c>
      <c r="P499" s="7">
        <f t="shared" si="31"/>
        <v>1435.2611400000001</v>
      </c>
    </row>
    <row r="500" spans="1:16" x14ac:dyDescent="0.25">
      <c r="A500" s="2" t="s">
        <v>563</v>
      </c>
      <c r="B500" s="3">
        <v>45605</v>
      </c>
      <c r="C500" s="2" t="s">
        <v>17</v>
      </c>
      <c r="D500" s="2" t="s">
        <v>43</v>
      </c>
      <c r="E500" s="2" t="s">
        <v>19</v>
      </c>
      <c r="F500" s="2" t="s">
        <v>62</v>
      </c>
      <c r="G500" s="2" t="s">
        <v>21</v>
      </c>
      <c r="H500" s="2">
        <v>17</v>
      </c>
      <c r="I500" s="4">
        <v>481.91</v>
      </c>
      <c r="J500" s="2">
        <v>10</v>
      </c>
      <c r="K500" s="2">
        <v>18</v>
      </c>
      <c r="L500" s="2" t="s">
        <v>32</v>
      </c>
      <c r="M500" s="4">
        <f t="shared" si="28"/>
        <v>8192.4700000000012</v>
      </c>
      <c r="N500" s="4">
        <f t="shared" si="29"/>
        <v>819.24700000000007</v>
      </c>
      <c r="O500" s="4">
        <f t="shared" si="30"/>
        <v>1327.1801400000002</v>
      </c>
      <c r="P500" s="4">
        <f t="shared" si="31"/>
        <v>8700.4031400000003</v>
      </c>
    </row>
    <row r="501" spans="1:16" x14ac:dyDescent="0.25">
      <c r="A501" s="5" t="s">
        <v>564</v>
      </c>
      <c r="B501" s="6">
        <v>45478</v>
      </c>
      <c r="C501" s="5" t="s">
        <v>47</v>
      </c>
      <c r="D501" s="5" t="s">
        <v>52</v>
      </c>
      <c r="E501" s="5" t="s">
        <v>38</v>
      </c>
      <c r="F501" s="5" t="s">
        <v>135</v>
      </c>
      <c r="G501" s="5" t="s">
        <v>31</v>
      </c>
      <c r="H501" s="5">
        <v>27</v>
      </c>
      <c r="I501" s="7">
        <v>1404.42</v>
      </c>
      <c r="J501" s="5">
        <v>5</v>
      </c>
      <c r="K501" s="5">
        <v>18</v>
      </c>
      <c r="L501" s="5" t="s">
        <v>22</v>
      </c>
      <c r="M501" s="7">
        <f t="shared" si="28"/>
        <v>37919.340000000004</v>
      </c>
      <c r="N501" s="7">
        <f t="shared" si="29"/>
        <v>1895.9670000000001</v>
      </c>
      <c r="O501" s="7">
        <f t="shared" si="30"/>
        <v>6484.2071400000013</v>
      </c>
      <c r="P501" s="7">
        <f t="shared" si="31"/>
        <v>42507.580140000005</v>
      </c>
    </row>
  </sheetData>
  <autoFilter ref="A1:P501" xr:uid="{00000000-0009-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rohith parchuru</cp:lastModifiedBy>
  <cp:revision>0</cp:revision>
  <dcterms:created xsi:type="dcterms:W3CDTF">2026-06-08T00:44:34Z</dcterms:created>
  <dcterms:modified xsi:type="dcterms:W3CDTF">2026-06-08T01:58:33Z</dcterms:modified>
  <dc:language>en-US</dc:language>
</cp:coreProperties>
</file>