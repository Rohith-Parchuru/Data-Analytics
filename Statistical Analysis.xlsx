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e7c44bee1a0c25/문서/"/>
    </mc:Choice>
  </mc:AlternateContent>
  <xr:revisionPtr revIDLastSave="0" documentId="8_{B5ACDFE6-D342-47B4-9829-19D6C7D7F544}" xr6:coauthVersionLast="47" xr6:coauthVersionMax="47" xr10:uidLastSave="{00000000-0000-0000-0000-000000000000}"/>
  <bookViews>
    <workbookView xWindow="-120" yWindow="-120" windowWidth="20730" windowHeight="11310" tabRatio="711" activeTab="2" xr2:uid="{E861962F-8819-41DE-A4AE-284E2805426E}"/>
  </bookViews>
  <sheets>
    <sheet name="Sheet2" sheetId="2" r:id="rId1"/>
    <sheet name="Sheet3" sheetId="3" r:id="rId2"/>
    <sheet name="Sheet1" sheetId="1" r:id="rId3"/>
    <sheet name="Sheet5" sheetId="5" r:id="rId4"/>
    <sheet name="Sheet6" sheetId="6" r:id="rId5"/>
    <sheet name="Problem - 2" sheetId="4" r:id="rId6"/>
    <sheet name="Sheet8" sheetId="8" r:id="rId7"/>
    <sheet name="Sheet9" sheetId="9" r:id="rId8"/>
    <sheet name="Sheet11" sheetId="11" r:id="rId9"/>
    <sheet name="Problem - 3" sheetId="7" r:id="rId10"/>
    <sheet name="Sheet13" sheetId="13" r:id="rId11"/>
    <sheet name="problem - 4" sheetId="10" r:id="rId12"/>
    <sheet name="Sheet15" sheetId="15" r:id="rId13"/>
    <sheet name="Sheet16" sheetId="16" r:id="rId14"/>
    <sheet name="Problem - 5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4" l="1"/>
  <c r="D21" i="14"/>
  <c r="D20" i="14"/>
  <c r="D19" i="14"/>
  <c r="C20" i="14"/>
  <c r="C18" i="14"/>
  <c r="F21" i="10"/>
  <c r="G19" i="10"/>
  <c r="E20" i="10"/>
  <c r="C22" i="10"/>
  <c r="C20" i="10"/>
  <c r="C18" i="10"/>
  <c r="E18" i="7"/>
  <c r="E21" i="7"/>
  <c r="C20" i="7"/>
  <c r="D19" i="7"/>
  <c r="C18" i="7"/>
  <c r="G19" i="4"/>
  <c r="E19" i="4"/>
  <c r="F20" i="4"/>
  <c r="F18" i="4"/>
  <c r="H13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F21" i="1"/>
  <c r="H11" i="1"/>
  <c r="D22" i="1"/>
  <c r="C22" i="1"/>
  <c r="B22" i="1"/>
  <c r="D20" i="1"/>
  <c r="C20" i="1"/>
  <c r="B20" i="1"/>
  <c r="D18" i="1"/>
  <c r="C18" i="1"/>
  <c r="B18" i="1"/>
</calcChain>
</file>

<file path=xl/sharedStrings.xml><?xml version="1.0" encoding="utf-8"?>
<sst xmlns="http://schemas.openxmlformats.org/spreadsheetml/2006/main" count="362" uniqueCount="121">
  <si>
    <t>Math</t>
  </si>
  <si>
    <t>Science</t>
  </si>
  <si>
    <t>English</t>
  </si>
  <si>
    <t>Study Hours</t>
  </si>
  <si>
    <t>Arun</t>
  </si>
  <si>
    <t>Bhanu</t>
  </si>
  <si>
    <t>Charan</t>
  </si>
  <si>
    <t>Deepak</t>
  </si>
  <si>
    <t>Eshwar</t>
  </si>
  <si>
    <t>Farhan</t>
  </si>
  <si>
    <t>Gopi</t>
  </si>
  <si>
    <t>Harish</t>
  </si>
  <si>
    <t>Imran</t>
  </si>
  <si>
    <t>Jaswanth</t>
  </si>
  <si>
    <t>Kiran</t>
  </si>
  <si>
    <t>Lokesh</t>
  </si>
  <si>
    <t>Manoj</t>
  </si>
  <si>
    <t>Naveen</t>
  </si>
  <si>
    <t>Praveen</t>
  </si>
  <si>
    <t>Student  Name</t>
  </si>
  <si>
    <t xml:space="preserve">Attendance </t>
  </si>
  <si>
    <t>Mean</t>
  </si>
  <si>
    <t>Median</t>
  </si>
  <si>
    <t>Standard deviation</t>
  </si>
  <si>
    <t>Total Marks</t>
  </si>
  <si>
    <t>Column1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</si>
  <si>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</si>
  <si>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</si>
  <si>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</si>
  <si>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</si>
  <si>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</si>
  <si>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</si>
  <si>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</si>
  <si>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</si>
  <si>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</si>
  <si>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</si>
  <si>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</si>
  <si>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</si>
  <si>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</si>
  <si>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</si>
  <si>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</si>
  <si>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</si>
  <si>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</si>
  <si>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</si>
  <si>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</si>
  <si>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</si>
  <si>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</si>
  <si>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</si>
  <si>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</si>
  <si>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</si>
  <si>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</si>
  <si>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</si>
  <si>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</si>
  <si>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</si>
  <si>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</si>
  <si>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</si>
  <si>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</si>
  <si>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</si>
  <si>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</si>
  <si>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</si>
  <si>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</si>
  <si>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</si>
  <si>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</si>
  <si>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</si>
  <si>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</si>
  <si>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</si>
  <si>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</si>
  <si>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</si>
  <si>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Month</t>
  </si>
  <si>
    <t>Product</t>
  </si>
  <si>
    <t>Region</t>
  </si>
  <si>
    <t>Salesperson</t>
  </si>
  <si>
    <t>Units Sold</t>
  </si>
  <si>
    <t>Revenue</t>
  </si>
  <si>
    <t>Jan</t>
  </si>
  <si>
    <t>Laptop</t>
  </si>
  <si>
    <t>South</t>
  </si>
  <si>
    <t>Mobile</t>
  </si>
  <si>
    <t>North</t>
  </si>
  <si>
    <t>Tablet</t>
  </si>
  <si>
    <t>East</t>
  </si>
  <si>
    <t>Feb</t>
  </si>
  <si>
    <t>West</t>
  </si>
  <si>
    <t>Mar</t>
  </si>
  <si>
    <t>Apr</t>
  </si>
  <si>
    <t>May</t>
  </si>
  <si>
    <t>Player Name</t>
  </si>
  <si>
    <t>Matches</t>
  </si>
  <si>
    <t>Runs</t>
  </si>
  <si>
    <t>Balls Faced</t>
  </si>
  <si>
    <t>Strike Rate</t>
  </si>
  <si>
    <t>Wickets</t>
  </si>
  <si>
    <t>Average Score</t>
  </si>
  <si>
    <t>Virat</t>
  </si>
  <si>
    <t>Rohit</t>
  </si>
  <si>
    <t>Dhoni</t>
  </si>
  <si>
    <t>Gill</t>
  </si>
  <si>
    <t>SKY</t>
  </si>
  <si>
    <t>Hardik</t>
  </si>
  <si>
    <t>Jadeja</t>
  </si>
  <si>
    <t>Bumrah</t>
  </si>
  <si>
    <t>Siraj</t>
  </si>
  <si>
    <t>Rashid</t>
  </si>
  <si>
    <t>Klaasen</t>
  </si>
  <si>
    <t>Ruturaj</t>
  </si>
  <si>
    <t>Rahul</t>
  </si>
  <si>
    <t>Maxwell</t>
  </si>
  <si>
    <t>Kuldeep</t>
  </si>
  <si>
    <t>Date</t>
  </si>
  <si>
    <t>AQI</t>
  </si>
  <si>
    <t>PM2.5</t>
  </si>
  <si>
    <t>PM10</t>
  </si>
  <si>
    <t xml:space="preserve">Temperature </t>
  </si>
  <si>
    <t xml:space="preserve">Humidity </t>
  </si>
  <si>
    <t>Person ID</t>
  </si>
  <si>
    <t>Age</t>
  </si>
  <si>
    <t>Sleep Hours</t>
  </si>
  <si>
    <t>Satisfaction Score</t>
  </si>
  <si>
    <t xml:space="preserve">Daily Screen </t>
  </si>
  <si>
    <t xml:space="preserve">Social Media </t>
  </si>
  <si>
    <t xml:space="preserve">Online Classes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</si>
</sst>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4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Sheet1!$G$2:$G$16</c:f>
              <c:numCache>
                <c:formatCode>General</c:formatCode>
                <c:ptCount val="15"/>
                <c:pt idx="0">
                  <c:v>235</c:v>
                </c:pt>
                <c:pt idx="1">
                  <c:v>244</c:v>
                </c:pt>
                <c:pt idx="2">
                  <c:v>270</c:v>
                </c:pt>
                <c:pt idx="3">
                  <c:v>209</c:v>
                </c:pt>
                <c:pt idx="4">
                  <c:v>258</c:v>
                </c:pt>
                <c:pt idx="5">
                  <c:v>219</c:v>
                </c:pt>
                <c:pt idx="6">
                  <c:v>284</c:v>
                </c:pt>
                <c:pt idx="7">
                  <c:v>187</c:v>
                </c:pt>
                <c:pt idx="8">
                  <c:v>240</c:v>
                </c:pt>
                <c:pt idx="9">
                  <c:v>230</c:v>
                </c:pt>
                <c:pt idx="10">
                  <c:v>272</c:v>
                </c:pt>
                <c:pt idx="11">
                  <c:v>207</c:v>
                </c:pt>
                <c:pt idx="12">
                  <c:v>253</c:v>
                </c:pt>
                <c:pt idx="13">
                  <c:v>214</c:v>
                </c:pt>
                <c:pt idx="14">
                  <c:v>282</c:v>
                </c:pt>
              </c:numCache>
            </c:numRef>
          </c:xVal>
          <c:yVal>
            <c:numRef>
              <c:f>Sheet1!$F$2:$F$16</c:f>
              <c:numCache>
                <c:formatCode>General</c:formatCode>
                <c:ptCount val="15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9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8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4-4B76-B462-61408CB45A4E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Sheet1!$G$2:$G$16</c:f>
              <c:numCache>
                <c:formatCode>General</c:formatCode>
                <c:ptCount val="15"/>
                <c:pt idx="0">
                  <c:v>235</c:v>
                </c:pt>
                <c:pt idx="1">
                  <c:v>244</c:v>
                </c:pt>
                <c:pt idx="2">
                  <c:v>270</c:v>
                </c:pt>
                <c:pt idx="3">
                  <c:v>209</c:v>
                </c:pt>
                <c:pt idx="4">
                  <c:v>258</c:v>
                </c:pt>
                <c:pt idx="5">
                  <c:v>219</c:v>
                </c:pt>
                <c:pt idx="6">
                  <c:v>284</c:v>
                </c:pt>
                <c:pt idx="7">
                  <c:v>187</c:v>
                </c:pt>
                <c:pt idx="8">
                  <c:v>240</c:v>
                </c:pt>
                <c:pt idx="9">
                  <c:v>230</c:v>
                </c:pt>
                <c:pt idx="10">
                  <c:v>272</c:v>
                </c:pt>
                <c:pt idx="11">
                  <c:v>207</c:v>
                </c:pt>
                <c:pt idx="12">
                  <c:v>253</c:v>
                </c:pt>
                <c:pt idx="13">
                  <c:v>214</c:v>
                </c:pt>
                <c:pt idx="14">
                  <c:v>282</c:v>
                </c:pt>
              </c:numCache>
            </c:numRef>
          </c:xVal>
          <c:yVal>
            <c:numRef>
              <c:f>Sheet2!$B$25:$B$39</c:f>
              <c:numCache>
                <c:formatCode>General</c:formatCode>
                <c:ptCount val="15"/>
                <c:pt idx="0">
                  <c:v>5.677531690409495</c:v>
                </c:pt>
                <c:pt idx="1">
                  <c:v>6.2285851308489644</c:v>
                </c:pt>
                <c:pt idx="2">
                  <c:v>7.8205172921185433</c:v>
                </c:pt>
                <c:pt idx="3">
                  <c:v>4.0855995291399161</c:v>
                </c:pt>
                <c:pt idx="4">
                  <c:v>7.085779371532583</c:v>
                </c:pt>
                <c:pt idx="5">
                  <c:v>4.6978811296282146</c:v>
                </c:pt>
                <c:pt idx="6">
                  <c:v>8.6777115328021619</c:v>
                </c:pt>
                <c:pt idx="7">
                  <c:v>2.7385800080656573</c:v>
                </c:pt>
                <c:pt idx="8">
                  <c:v>5.9836724906536443</c:v>
                </c:pt>
                <c:pt idx="9">
                  <c:v>5.371390890165344</c:v>
                </c:pt>
                <c:pt idx="10">
                  <c:v>7.9429736122162016</c:v>
                </c:pt>
                <c:pt idx="11">
                  <c:v>3.963143209042256</c:v>
                </c:pt>
                <c:pt idx="12">
                  <c:v>6.7796385712884337</c:v>
                </c:pt>
                <c:pt idx="13">
                  <c:v>4.3917403293840653</c:v>
                </c:pt>
                <c:pt idx="14">
                  <c:v>8.5552552127045001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4-4B76-B462-61408CB45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323679"/>
        <c:axId val="1863324639"/>
      </c:scatterChart>
      <c:valAx>
        <c:axId val="186332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3324639"/>
        <c:crosses val="autoZero"/>
        <c:crossBetween val="midCat"/>
      </c:valAx>
      <c:valAx>
        <c:axId val="1863324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33236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vs Marks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Sheet1!$A$2:$A$16</c:f>
              <c:strCache>
                <c:ptCount val="15"/>
                <c:pt idx="0">
                  <c:v>Arun</c:v>
                </c:pt>
                <c:pt idx="1">
                  <c:v>Bhanu</c:v>
                </c:pt>
                <c:pt idx="2">
                  <c:v>Charan</c:v>
                </c:pt>
                <c:pt idx="3">
                  <c:v>Deepak</c:v>
                </c:pt>
                <c:pt idx="4">
                  <c:v>Eshwar</c:v>
                </c:pt>
                <c:pt idx="5">
                  <c:v>Farhan</c:v>
                </c:pt>
                <c:pt idx="6">
                  <c:v>Gopi</c:v>
                </c:pt>
                <c:pt idx="7">
                  <c:v>Harish</c:v>
                </c:pt>
                <c:pt idx="8">
                  <c:v>Imran</c:v>
                </c:pt>
                <c:pt idx="9">
                  <c:v>Jaswanth</c:v>
                </c:pt>
                <c:pt idx="10">
                  <c:v>Kiran</c:v>
                </c:pt>
                <c:pt idx="11">
                  <c:v>Lokesh</c:v>
                </c:pt>
                <c:pt idx="12">
                  <c:v>Manoj</c:v>
                </c:pt>
                <c:pt idx="13">
                  <c:v>Naveen</c:v>
                </c:pt>
                <c:pt idx="14">
                  <c:v>Praveen</c:v>
                </c:pt>
              </c:strCache>
            </c:str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235</c:v>
                </c:pt>
                <c:pt idx="1">
                  <c:v>244</c:v>
                </c:pt>
                <c:pt idx="2">
                  <c:v>270</c:v>
                </c:pt>
                <c:pt idx="3">
                  <c:v>209</c:v>
                </c:pt>
                <c:pt idx="4">
                  <c:v>258</c:v>
                </c:pt>
                <c:pt idx="5">
                  <c:v>219</c:v>
                </c:pt>
                <c:pt idx="6">
                  <c:v>284</c:v>
                </c:pt>
                <c:pt idx="7">
                  <c:v>187</c:v>
                </c:pt>
                <c:pt idx="8">
                  <c:v>240</c:v>
                </c:pt>
                <c:pt idx="9">
                  <c:v>230</c:v>
                </c:pt>
                <c:pt idx="10">
                  <c:v>272</c:v>
                </c:pt>
                <c:pt idx="11">
                  <c:v>207</c:v>
                </c:pt>
                <c:pt idx="12">
                  <c:v>253</c:v>
                </c:pt>
                <c:pt idx="13">
                  <c:v>214</c:v>
                </c:pt>
                <c:pt idx="14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4-49EE-9CC5-AA1096FF22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3263199"/>
        <c:axId val="1863267039"/>
      </c:barChart>
      <c:catAx>
        <c:axId val="1863263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FF0000"/>
                    </a:solidFill>
                  </a:rPr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67039"/>
        <c:crosses val="autoZero"/>
        <c:auto val="1"/>
        <c:lblAlgn val="ctr"/>
        <c:lblOffset val="100"/>
        <c:noMultiLvlLbl val="0"/>
      </c:catAx>
      <c:valAx>
        <c:axId val="18632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FF0000"/>
                    </a:solidFill>
                  </a:rPr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6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'Problem - 2'!$E$2:$E$16</c:f>
              <c:numCache>
                <c:formatCode>General</c:formatCode>
                <c:ptCount val="15"/>
                <c:pt idx="0">
                  <c:v>25</c:v>
                </c:pt>
                <c:pt idx="1">
                  <c:v>40</c:v>
                </c:pt>
                <c:pt idx="2">
                  <c:v>18</c:v>
                </c:pt>
                <c:pt idx="3">
                  <c:v>30</c:v>
                </c:pt>
                <c:pt idx="4">
                  <c:v>45</c:v>
                </c:pt>
                <c:pt idx="5">
                  <c:v>20</c:v>
                </c:pt>
                <c:pt idx="6">
                  <c:v>28</c:v>
                </c:pt>
                <c:pt idx="7">
                  <c:v>38</c:v>
                </c:pt>
                <c:pt idx="8">
                  <c:v>22</c:v>
                </c:pt>
                <c:pt idx="9">
                  <c:v>35</c:v>
                </c:pt>
                <c:pt idx="10">
                  <c:v>50</c:v>
                </c:pt>
                <c:pt idx="11">
                  <c:v>24</c:v>
                </c:pt>
                <c:pt idx="12">
                  <c:v>32</c:v>
                </c:pt>
                <c:pt idx="13">
                  <c:v>42</c:v>
                </c:pt>
                <c:pt idx="14">
                  <c:v>21</c:v>
                </c:pt>
              </c:numCache>
            </c:numRef>
          </c:xVal>
          <c:yVal>
            <c:numRef>
              <c:f>'Problem - 2'!$F$2:$F$16</c:f>
              <c:numCache>
                <c:formatCode>General</c:formatCode>
                <c:ptCount val="15"/>
                <c:pt idx="0">
                  <c:v>1250000</c:v>
                </c:pt>
                <c:pt idx="1">
                  <c:v>800000</c:v>
                </c:pt>
                <c:pt idx="2">
                  <c:v>360000</c:v>
                </c:pt>
                <c:pt idx="3">
                  <c:v>1500000</c:v>
                </c:pt>
                <c:pt idx="4">
                  <c:v>900000</c:v>
                </c:pt>
                <c:pt idx="5">
                  <c:v>400000</c:v>
                </c:pt>
                <c:pt idx="6">
                  <c:v>1400000</c:v>
                </c:pt>
                <c:pt idx="7">
                  <c:v>760000</c:v>
                </c:pt>
                <c:pt idx="8">
                  <c:v>440000</c:v>
                </c:pt>
                <c:pt idx="9">
                  <c:v>1750000</c:v>
                </c:pt>
                <c:pt idx="10">
                  <c:v>1000000</c:v>
                </c:pt>
                <c:pt idx="11">
                  <c:v>480000</c:v>
                </c:pt>
                <c:pt idx="12">
                  <c:v>1600000</c:v>
                </c:pt>
                <c:pt idx="13">
                  <c:v>840000</c:v>
                </c:pt>
                <c:pt idx="14">
                  <c:v>420000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B4-4FBA-B392-99E2FAFE8B8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'Problem - 2'!$E$2:$E$16</c:f>
              <c:numCache>
                <c:formatCode>General</c:formatCode>
                <c:ptCount val="15"/>
                <c:pt idx="0">
                  <c:v>25</c:v>
                </c:pt>
                <c:pt idx="1">
                  <c:v>40</c:v>
                </c:pt>
                <c:pt idx="2">
                  <c:v>18</c:v>
                </c:pt>
                <c:pt idx="3">
                  <c:v>30</c:v>
                </c:pt>
                <c:pt idx="4">
                  <c:v>45</c:v>
                </c:pt>
                <c:pt idx="5">
                  <c:v>20</c:v>
                </c:pt>
                <c:pt idx="6">
                  <c:v>28</c:v>
                </c:pt>
                <c:pt idx="7">
                  <c:v>38</c:v>
                </c:pt>
                <c:pt idx="8">
                  <c:v>22</c:v>
                </c:pt>
                <c:pt idx="9">
                  <c:v>35</c:v>
                </c:pt>
                <c:pt idx="10">
                  <c:v>50</c:v>
                </c:pt>
                <c:pt idx="11">
                  <c:v>24</c:v>
                </c:pt>
                <c:pt idx="12">
                  <c:v>32</c:v>
                </c:pt>
                <c:pt idx="13">
                  <c:v>42</c:v>
                </c:pt>
                <c:pt idx="14">
                  <c:v>21</c:v>
                </c:pt>
              </c:numCache>
            </c:numRef>
          </c:xVal>
          <c:yVal>
            <c:numRef>
              <c:f>Sheet6!$B$25:$B$39</c:f>
              <c:numCache>
                <c:formatCode>General</c:formatCode>
                <c:ptCount val="15"/>
                <c:pt idx="0">
                  <c:v>819419.38579654507</c:v>
                </c:pt>
                <c:pt idx="1">
                  <c:v>1073426.103646833</c:v>
                </c:pt>
                <c:pt idx="2">
                  <c:v>700882.91746641067</c:v>
                </c:pt>
                <c:pt idx="3">
                  <c:v>904088.29174664104</c:v>
                </c:pt>
                <c:pt idx="4">
                  <c:v>1158095.009596929</c:v>
                </c:pt>
                <c:pt idx="5">
                  <c:v>734750.4798464491</c:v>
                </c:pt>
                <c:pt idx="6">
                  <c:v>870220.72936660261</c:v>
                </c:pt>
                <c:pt idx="7">
                  <c:v>1039558.5412667947</c:v>
                </c:pt>
                <c:pt idx="8">
                  <c:v>768618.04222648754</c:v>
                </c:pt>
                <c:pt idx="9">
                  <c:v>988757.19769673713</c:v>
                </c:pt>
                <c:pt idx="10">
                  <c:v>1242763.9155470249</c:v>
                </c:pt>
                <c:pt idx="11">
                  <c:v>802485.60460652586</c:v>
                </c:pt>
                <c:pt idx="12">
                  <c:v>937955.85412667948</c:v>
                </c:pt>
                <c:pt idx="13">
                  <c:v>1107293.6660268714</c:v>
                </c:pt>
                <c:pt idx="14">
                  <c:v>751684.2610364682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B4-4FBA-B392-99E2FAFE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838175"/>
        <c:axId val="2085838655"/>
      </c:scatterChart>
      <c:valAx>
        <c:axId val="208583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5838655"/>
        <c:crosses val="autoZero"/>
        <c:crossBetween val="midCat"/>
      </c:valAx>
      <c:valAx>
        <c:axId val="2085838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58381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- 2'!$F$1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'Problem - 2'!$A$2:$B$16</c:f>
              <c:multiLvlStrCache>
                <c:ptCount val="15"/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Laptop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Laptop</c:v>
                  </c:pt>
                  <c:pt idx="7">
                    <c:v>Mobile</c:v>
                  </c:pt>
                  <c:pt idx="8">
                    <c:v>Tablet</c:v>
                  </c:pt>
                  <c:pt idx="9">
                    <c:v>Laptop</c:v>
                  </c:pt>
                  <c:pt idx="10">
                    <c:v>Mobile</c:v>
                  </c:pt>
                  <c:pt idx="11">
                    <c:v>Tablet</c:v>
                  </c:pt>
                  <c:pt idx="12">
                    <c:v>Laptop</c:v>
                  </c:pt>
                  <c:pt idx="13">
                    <c:v>Mobile</c:v>
                  </c:pt>
                  <c:pt idx="14">
                    <c:v>Tablet</c:v>
                  </c:pt>
                </c:lvl>
                <c:lvl>
                  <c:pt idx="0">
                    <c:v>Jan</c:v>
                  </c:pt>
                  <c:pt idx="1">
                    <c:v>Jan</c:v>
                  </c:pt>
                  <c:pt idx="2">
                    <c:v>Jan</c:v>
                  </c:pt>
                  <c:pt idx="3">
                    <c:v>Feb</c:v>
                  </c:pt>
                  <c:pt idx="4">
                    <c:v>Feb</c:v>
                  </c:pt>
                  <c:pt idx="5">
                    <c:v>Feb</c:v>
                  </c:pt>
                  <c:pt idx="6">
                    <c:v>Mar</c:v>
                  </c:pt>
                  <c:pt idx="7">
                    <c:v>Mar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Apr</c:v>
                  </c:pt>
                  <c:pt idx="11">
                    <c:v>Apr</c:v>
                  </c:pt>
                  <c:pt idx="12">
                    <c:v>May</c:v>
                  </c:pt>
                  <c:pt idx="13">
                    <c:v>May</c:v>
                  </c:pt>
                  <c:pt idx="14">
                    <c:v>May</c:v>
                  </c:pt>
                </c:lvl>
              </c:multiLvlStrCache>
            </c:multiLvlStrRef>
          </c:cat>
          <c:val>
            <c:numRef>
              <c:f>'Problem - 2'!$F$2:$F$16</c:f>
              <c:numCache>
                <c:formatCode>General</c:formatCode>
                <c:ptCount val="15"/>
                <c:pt idx="0">
                  <c:v>1250000</c:v>
                </c:pt>
                <c:pt idx="1">
                  <c:v>800000</c:v>
                </c:pt>
                <c:pt idx="2">
                  <c:v>360000</c:v>
                </c:pt>
                <c:pt idx="3">
                  <c:v>1500000</c:v>
                </c:pt>
                <c:pt idx="4">
                  <c:v>900000</c:v>
                </c:pt>
                <c:pt idx="5">
                  <c:v>400000</c:v>
                </c:pt>
                <c:pt idx="6">
                  <c:v>1400000</c:v>
                </c:pt>
                <c:pt idx="7">
                  <c:v>760000</c:v>
                </c:pt>
                <c:pt idx="8">
                  <c:v>440000</c:v>
                </c:pt>
                <c:pt idx="9">
                  <c:v>1750000</c:v>
                </c:pt>
                <c:pt idx="10">
                  <c:v>1000000</c:v>
                </c:pt>
                <c:pt idx="11">
                  <c:v>480000</c:v>
                </c:pt>
                <c:pt idx="12">
                  <c:v>1600000</c:v>
                </c:pt>
                <c:pt idx="13">
                  <c:v>840000</c:v>
                </c:pt>
                <c:pt idx="14">
                  <c:v>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9-4BA7-8A3A-728F616B6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834815"/>
        <c:axId val="2085828575"/>
      </c:barChart>
      <c:catAx>
        <c:axId val="20858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28575"/>
        <c:crosses val="autoZero"/>
        <c:auto val="1"/>
        <c:lblAlgn val="ctr"/>
        <c:lblOffset val="100"/>
        <c:noMultiLvlLbl val="0"/>
      </c:catAx>
      <c:valAx>
        <c:axId val="208582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3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</a:t>
            </a:r>
            <a:r>
              <a:rPr lang="en-IN" baseline="0"/>
              <a:t>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'Problem - 2'!$D$2:$D$16</c:f>
              <c:strCache>
                <c:ptCount val="15"/>
                <c:pt idx="0">
                  <c:v>Arun</c:v>
                </c:pt>
                <c:pt idx="1">
                  <c:v>Bhanu</c:v>
                </c:pt>
                <c:pt idx="2">
                  <c:v>Charan</c:v>
                </c:pt>
                <c:pt idx="3">
                  <c:v>Deepak</c:v>
                </c:pt>
                <c:pt idx="4">
                  <c:v>Eshwar</c:v>
                </c:pt>
                <c:pt idx="5">
                  <c:v>Farhan</c:v>
                </c:pt>
                <c:pt idx="6">
                  <c:v>Gopi</c:v>
                </c:pt>
                <c:pt idx="7">
                  <c:v>Harish</c:v>
                </c:pt>
                <c:pt idx="8">
                  <c:v>Imran</c:v>
                </c:pt>
                <c:pt idx="9">
                  <c:v>Jaswanth</c:v>
                </c:pt>
                <c:pt idx="10">
                  <c:v>Kiran</c:v>
                </c:pt>
                <c:pt idx="11">
                  <c:v>Lokesh</c:v>
                </c:pt>
                <c:pt idx="12">
                  <c:v>Manoj</c:v>
                </c:pt>
                <c:pt idx="13">
                  <c:v>Naveen</c:v>
                </c:pt>
                <c:pt idx="14">
                  <c:v>Praveen</c:v>
                </c:pt>
              </c:strCache>
            </c:strRef>
          </c:cat>
          <c:val>
            <c:numRef>
              <c:f>'Problem - 2'!$E$2:$E$16</c:f>
              <c:numCache>
                <c:formatCode>General</c:formatCode>
                <c:ptCount val="15"/>
                <c:pt idx="0">
                  <c:v>25</c:v>
                </c:pt>
                <c:pt idx="1">
                  <c:v>40</c:v>
                </c:pt>
                <c:pt idx="2">
                  <c:v>18</c:v>
                </c:pt>
                <c:pt idx="3">
                  <c:v>30</c:v>
                </c:pt>
                <c:pt idx="4">
                  <c:v>45</c:v>
                </c:pt>
                <c:pt idx="5">
                  <c:v>20</c:v>
                </c:pt>
                <c:pt idx="6">
                  <c:v>28</c:v>
                </c:pt>
                <c:pt idx="7">
                  <c:v>38</c:v>
                </c:pt>
                <c:pt idx="8">
                  <c:v>22</c:v>
                </c:pt>
                <c:pt idx="9">
                  <c:v>35</c:v>
                </c:pt>
                <c:pt idx="10">
                  <c:v>50</c:v>
                </c:pt>
                <c:pt idx="11">
                  <c:v>24</c:v>
                </c:pt>
                <c:pt idx="12">
                  <c:v>32</c:v>
                </c:pt>
                <c:pt idx="13">
                  <c:v>42</c:v>
                </c:pt>
                <c:pt idx="1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B-45C3-A6A6-1393C217E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872255"/>
        <c:axId val="2085865055"/>
      </c:barChart>
      <c:catAx>
        <c:axId val="208587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65055"/>
        <c:crosses val="autoZero"/>
        <c:auto val="1"/>
        <c:lblAlgn val="ctr"/>
        <c:lblOffset val="100"/>
        <c:noMultiLvlLbl val="0"/>
      </c:catAx>
      <c:valAx>
        <c:axId val="208586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7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'Problem - 3'!$B$2:$B$16</c:f>
              <c:numCache>
                <c:formatCode>General</c:formatCode>
                <c:ptCount val="15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14</c:v>
                </c:pt>
                <c:pt idx="10">
                  <c:v>13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13</c:v>
                </c:pt>
              </c:numCache>
            </c:numRef>
          </c:xVal>
          <c:yVal>
            <c:numRef>
              <c:f>'Problem - 3'!$C$2:$C$16</c:f>
              <c:numCache>
                <c:formatCode>General</c:formatCode>
                <c:ptCount val="15"/>
                <c:pt idx="0">
                  <c:v>620</c:v>
                </c:pt>
                <c:pt idx="1">
                  <c:v>480</c:v>
                </c:pt>
                <c:pt idx="2">
                  <c:v>310</c:v>
                </c:pt>
                <c:pt idx="3">
                  <c:v>670</c:v>
                </c:pt>
                <c:pt idx="4">
                  <c:v>540</c:v>
                </c:pt>
                <c:pt idx="5">
                  <c:v>350</c:v>
                </c:pt>
                <c:pt idx="6">
                  <c:v>290</c:v>
                </c:pt>
                <c:pt idx="7">
                  <c:v>60</c:v>
                </c:pt>
                <c:pt idx="8">
                  <c:v>40</c:v>
                </c:pt>
                <c:pt idx="9">
                  <c:v>180</c:v>
                </c:pt>
                <c:pt idx="10">
                  <c:v>510</c:v>
                </c:pt>
                <c:pt idx="11">
                  <c:v>590</c:v>
                </c:pt>
                <c:pt idx="12">
                  <c:v>430</c:v>
                </c:pt>
                <c:pt idx="13">
                  <c:v>320</c:v>
                </c:pt>
                <c:pt idx="1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A9-4B33-9769-A2390A9AC313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'Problem - 3'!$B$2:$B$16</c:f>
              <c:numCache>
                <c:formatCode>General</c:formatCode>
                <c:ptCount val="15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14</c:v>
                </c:pt>
                <c:pt idx="10">
                  <c:v>13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13</c:v>
                </c:pt>
              </c:numCache>
            </c:numRef>
          </c:xVal>
          <c:yVal>
            <c:numRef>
              <c:f>Sheet8!$B$25:$B$39</c:f>
              <c:numCache>
                <c:formatCode>General</c:formatCode>
                <c:ptCount val="15"/>
                <c:pt idx="0">
                  <c:v>390.67961165048541</c:v>
                </c:pt>
                <c:pt idx="1">
                  <c:v>390.67961165048541</c:v>
                </c:pt>
                <c:pt idx="2">
                  <c:v>327.57281553398059</c:v>
                </c:pt>
                <c:pt idx="3">
                  <c:v>390.67961165048541</c:v>
                </c:pt>
                <c:pt idx="4">
                  <c:v>359.126213592233</c:v>
                </c:pt>
                <c:pt idx="5">
                  <c:v>327.57281553398059</c:v>
                </c:pt>
                <c:pt idx="6">
                  <c:v>390.67961165048541</c:v>
                </c:pt>
                <c:pt idx="7">
                  <c:v>390.67961165048541</c:v>
                </c:pt>
                <c:pt idx="8">
                  <c:v>359.126213592233</c:v>
                </c:pt>
                <c:pt idx="9">
                  <c:v>390.67961165048541</c:v>
                </c:pt>
                <c:pt idx="10">
                  <c:v>359.126213592233</c:v>
                </c:pt>
                <c:pt idx="11">
                  <c:v>390.67961165048541</c:v>
                </c:pt>
                <c:pt idx="12">
                  <c:v>327.57281553398059</c:v>
                </c:pt>
                <c:pt idx="13">
                  <c:v>296.01941747572818</c:v>
                </c:pt>
                <c:pt idx="14">
                  <c:v>359.126213592233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A9-4B33-9769-A2390A9AC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855455"/>
        <c:axId val="2085851615"/>
      </c:scatterChart>
      <c:valAx>
        <c:axId val="2085855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5851615"/>
        <c:crosses val="autoZero"/>
        <c:crossBetween val="midCat"/>
      </c:valAx>
      <c:valAx>
        <c:axId val="2085851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58554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'Problem - 3'!$C$2:$C$16</c:f>
              <c:numCache>
                <c:formatCode>General</c:formatCode>
                <c:ptCount val="15"/>
                <c:pt idx="0">
                  <c:v>620</c:v>
                </c:pt>
                <c:pt idx="1">
                  <c:v>480</c:v>
                </c:pt>
                <c:pt idx="2">
                  <c:v>310</c:v>
                </c:pt>
                <c:pt idx="3">
                  <c:v>670</c:v>
                </c:pt>
                <c:pt idx="4">
                  <c:v>540</c:v>
                </c:pt>
                <c:pt idx="5">
                  <c:v>350</c:v>
                </c:pt>
                <c:pt idx="6">
                  <c:v>290</c:v>
                </c:pt>
                <c:pt idx="7">
                  <c:v>60</c:v>
                </c:pt>
                <c:pt idx="8">
                  <c:v>40</c:v>
                </c:pt>
                <c:pt idx="9">
                  <c:v>180</c:v>
                </c:pt>
                <c:pt idx="10">
                  <c:v>510</c:v>
                </c:pt>
                <c:pt idx="11">
                  <c:v>590</c:v>
                </c:pt>
                <c:pt idx="12">
                  <c:v>430</c:v>
                </c:pt>
                <c:pt idx="13">
                  <c:v>320</c:v>
                </c:pt>
                <c:pt idx="1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93-4B25-A47E-02D253D7A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878975"/>
        <c:axId val="2085849695"/>
      </c:lineChart>
      <c:catAx>
        <c:axId val="208587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49695"/>
        <c:crosses val="autoZero"/>
        <c:auto val="1"/>
        <c:lblAlgn val="ctr"/>
        <c:lblOffset val="100"/>
        <c:noMultiLvlLbl val="0"/>
      </c:catAx>
      <c:valAx>
        <c:axId val="20858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7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'problem - 4'!$B$2:$B$16</c:f>
              <c:numCache>
                <c:formatCode>General</c:formatCode>
                <c:ptCount val="15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31</c:v>
                </c:pt>
                <c:pt idx="11">
                  <c:v>30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</c:numCache>
            </c:numRef>
          </c:xVal>
          <c:yVal>
            <c:numRef>
              <c:f>'problem - 4'!$D$2:$D$16</c:f>
              <c:numCache>
                <c:formatCode>General</c:formatCode>
                <c:ptCount val="15"/>
                <c:pt idx="0">
                  <c:v>95</c:v>
                </c:pt>
                <c:pt idx="1">
                  <c:v>102</c:v>
                </c:pt>
                <c:pt idx="2">
                  <c:v>108</c:v>
                </c:pt>
                <c:pt idx="3">
                  <c:v>115</c:v>
                </c:pt>
                <c:pt idx="4">
                  <c:v>123</c:v>
                </c:pt>
                <c:pt idx="5">
                  <c:v>130</c:v>
                </c:pt>
                <c:pt idx="6">
                  <c:v>138</c:v>
                </c:pt>
                <c:pt idx="7">
                  <c:v>145</c:v>
                </c:pt>
                <c:pt idx="8">
                  <c:v>152</c:v>
                </c:pt>
                <c:pt idx="9">
                  <c:v>160</c:v>
                </c:pt>
                <c:pt idx="10">
                  <c:v>120</c:v>
                </c:pt>
                <c:pt idx="11">
                  <c:v>112</c:v>
                </c:pt>
                <c:pt idx="12">
                  <c:v>106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A4-4DB8-B051-7DDCB6C73B1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'problem - 4'!$B$2:$B$16</c:f>
              <c:numCache>
                <c:formatCode>General</c:formatCode>
                <c:ptCount val="15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31</c:v>
                </c:pt>
                <c:pt idx="11">
                  <c:v>30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</c:numCache>
            </c:numRef>
          </c:xVal>
          <c:yVal>
            <c:numRef>
              <c:f>Sheet13!$B$25:$B$39</c:f>
              <c:numCache>
                <c:formatCode>General</c:formatCode>
                <c:ptCount val="15"/>
                <c:pt idx="0">
                  <c:v>94.194117647058846</c:v>
                </c:pt>
                <c:pt idx="1">
                  <c:v>101.34117647058824</c:v>
                </c:pt>
                <c:pt idx="2">
                  <c:v>108.48823529411766</c:v>
                </c:pt>
                <c:pt idx="3">
                  <c:v>115.63529411764708</c:v>
                </c:pt>
                <c:pt idx="4">
                  <c:v>122.78235294117647</c:v>
                </c:pt>
                <c:pt idx="5">
                  <c:v>129.92941176470589</c:v>
                </c:pt>
                <c:pt idx="6">
                  <c:v>137.07647058823531</c:v>
                </c:pt>
                <c:pt idx="7">
                  <c:v>144.2235294117647</c:v>
                </c:pt>
                <c:pt idx="8">
                  <c:v>151.37058823529412</c:v>
                </c:pt>
                <c:pt idx="9">
                  <c:v>158.51764705882354</c:v>
                </c:pt>
                <c:pt idx="10">
                  <c:v>122.78235294117647</c:v>
                </c:pt>
                <c:pt idx="11">
                  <c:v>115.63529411764708</c:v>
                </c:pt>
                <c:pt idx="12">
                  <c:v>108.48823529411766</c:v>
                </c:pt>
                <c:pt idx="13">
                  <c:v>101.34117647058824</c:v>
                </c:pt>
                <c:pt idx="14">
                  <c:v>94.194117647058846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A4-4DB8-B051-7DDCB6C73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292959"/>
        <c:axId val="1863297759"/>
      </c:scatterChart>
      <c:valAx>
        <c:axId val="1863292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3297759"/>
        <c:crosses val="autoZero"/>
        <c:crossBetween val="midCat"/>
      </c:valAx>
      <c:valAx>
        <c:axId val="1863297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32929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- 4'!$D$1</c:f>
              <c:strCache>
                <c:ptCount val="1"/>
                <c:pt idx="0">
                  <c:v>AQI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'problem - 4'!$A$2:$A$16</c:f>
              <c:numCache>
                <c:formatCode>m/d/yyyy</c:formatCode>
                <c:ptCount val="15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</c:numCache>
            </c:numRef>
          </c:cat>
          <c:val>
            <c:numRef>
              <c:f>'problem - 4'!$D$2:$D$16</c:f>
              <c:numCache>
                <c:formatCode>General</c:formatCode>
                <c:ptCount val="15"/>
                <c:pt idx="0">
                  <c:v>95</c:v>
                </c:pt>
                <c:pt idx="1">
                  <c:v>102</c:v>
                </c:pt>
                <c:pt idx="2">
                  <c:v>108</c:v>
                </c:pt>
                <c:pt idx="3">
                  <c:v>115</c:v>
                </c:pt>
                <c:pt idx="4">
                  <c:v>123</c:v>
                </c:pt>
                <c:pt idx="5">
                  <c:v>130</c:v>
                </c:pt>
                <c:pt idx="6">
                  <c:v>138</c:v>
                </c:pt>
                <c:pt idx="7">
                  <c:v>145</c:v>
                </c:pt>
                <c:pt idx="8">
                  <c:v>152</c:v>
                </c:pt>
                <c:pt idx="9">
                  <c:v>160</c:v>
                </c:pt>
                <c:pt idx="10">
                  <c:v>120</c:v>
                </c:pt>
                <c:pt idx="11">
                  <c:v>112</c:v>
                </c:pt>
                <c:pt idx="12">
                  <c:v>106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F-4EDE-B49C-6C8CD3FA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278559"/>
        <c:axId val="1863271359"/>
      </c:lineChart>
      <c:dateAx>
        <c:axId val="1863278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71359"/>
        <c:crosses val="autoZero"/>
        <c:auto val="1"/>
        <c:lblOffset val="100"/>
        <c:baseTimeUnit val="days"/>
      </c:dateAx>
      <c:valAx>
        <c:axId val="18632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7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'Problem - 5'!$B$2:$B$16</c:f>
              <c:numCache>
                <c:formatCode>General</c:formatCode>
                <c:ptCount val="1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</c:numCache>
            </c:numRef>
          </c:xVal>
          <c:yVal>
            <c:numRef>
              <c:f>'Problem - 5'!$C$2:$C$16</c:f>
              <c:numCache>
                <c:formatCode>General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4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31-4373-94A0-32F00996BDB1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'Problem - 5'!$B$2:$B$16</c:f>
              <c:numCache>
                <c:formatCode>General</c:formatCode>
                <c:ptCount val="1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</c:numCache>
            </c:numRef>
          </c:xVal>
          <c:yVal>
            <c:numRef>
              <c:f>Sheet15!$B$25:$B$39</c:f>
              <c:numCache>
                <c:formatCode>General</c:formatCode>
                <c:ptCount val="15"/>
                <c:pt idx="0">
                  <c:v>6.2</c:v>
                </c:pt>
                <c:pt idx="1">
                  <c:v>6.6000000000000005</c:v>
                </c:pt>
                <c:pt idx="2">
                  <c:v>7</c:v>
                </c:pt>
                <c:pt idx="3">
                  <c:v>7.3999999999999995</c:v>
                </c:pt>
                <c:pt idx="4">
                  <c:v>7.8</c:v>
                </c:pt>
                <c:pt idx="5">
                  <c:v>6.2</c:v>
                </c:pt>
                <c:pt idx="6">
                  <c:v>6.6000000000000005</c:v>
                </c:pt>
                <c:pt idx="7">
                  <c:v>7</c:v>
                </c:pt>
                <c:pt idx="8">
                  <c:v>7.3999999999999995</c:v>
                </c:pt>
                <c:pt idx="9">
                  <c:v>7.8</c:v>
                </c:pt>
                <c:pt idx="10">
                  <c:v>6.2</c:v>
                </c:pt>
                <c:pt idx="11">
                  <c:v>6.6000000000000005</c:v>
                </c:pt>
                <c:pt idx="12">
                  <c:v>7</c:v>
                </c:pt>
                <c:pt idx="13">
                  <c:v>7.3999999999999995</c:v>
                </c:pt>
                <c:pt idx="14">
                  <c:v>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31-4373-94A0-32F00996B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852575"/>
        <c:axId val="2085858815"/>
      </c:scatterChart>
      <c:valAx>
        <c:axId val="208585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5858815"/>
        <c:crosses val="autoZero"/>
        <c:crossBetween val="midCat"/>
      </c:valAx>
      <c:valAx>
        <c:axId val="2085858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58525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- 5'!$B$1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'Problem - 5'!$B$2:$B$16</c:f>
              <c:numCache>
                <c:formatCode>General</c:formatCode>
                <c:ptCount val="1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F-416B-B7CA-FACAA93F2573}"/>
            </c:ext>
          </c:extLst>
        </c:ser>
        <c:ser>
          <c:idx val="1"/>
          <c:order val="1"/>
          <c:tx>
            <c:strRef>
              <c:f>'Problem - 5'!$C$1</c:f>
              <c:strCache>
                <c:ptCount val="1"/>
                <c:pt idx="0">
                  <c:v>Daily Screen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'Problem - 5'!$C$2:$C$16</c:f>
              <c:numCache>
                <c:formatCode>General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4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F-416B-B7CA-FACAA93F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834335"/>
        <c:axId val="2085835775"/>
      </c:barChart>
      <c:catAx>
        <c:axId val="2085834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35775"/>
        <c:crosses val="autoZero"/>
        <c:auto val="1"/>
        <c:lblAlgn val="ctr"/>
        <c:lblOffset val="100"/>
        <c:noMultiLvlLbl val="0"/>
      </c:catAx>
      <c:valAx>
        <c:axId val="20858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3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'Problem - 5'!$G$1</c:f>
              <c:strCache>
                <c:ptCount val="1"/>
                <c:pt idx="0">
                  <c:v>Satisfaction Score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A47-4E1C-A9AB-475959B72C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A47-4E1C-A9AB-475959B72C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A47-4E1C-A9AB-475959B72C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A47-4E1C-A9AB-475959B72C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A47-4E1C-A9AB-475959B72CA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A47-4E1C-A9AB-475959B72CA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A47-4E1C-A9AB-475959B72CA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A47-4E1C-A9AB-475959B72CA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A47-4E1C-A9AB-475959B72CA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A47-4E1C-A9AB-475959B72CA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A47-4E1C-A9AB-475959B72CA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A47-4E1C-A9AB-475959B72CA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4A47-4E1C-A9AB-475959B72CA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4A47-4E1C-A9AB-475959B72CA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4A47-4E1C-A9AB-475959B72CAB}"/>
              </c:ext>
            </c:extLst>
          </c:dPt>
          <c:val>
            <c:numRef>
              <c:f>'Problem - 5'!$G$2:$G$16</c:f>
              <c:numCache>
                <c:formatCode>General</c:formatCode>
                <c:ptCount val="15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9</c:v>
                </c:pt>
                <c:pt idx="9">
                  <c:v>6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7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5-47B9-9C7B-0909E451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8C5A6-824C-2FF7-031D-6E4757FB1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476249</xdr:colOff>
      <xdr:row>2</xdr:row>
      <xdr:rowOff>185737</xdr:rowOff>
    </xdr:from>
    <xdr:to>
      <xdr:col>16</xdr:col>
      <xdr:colOff>485774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50BB0-B701-793C-AFF4-3DD80CEB9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83145-716A-622B-FED2-6943B2FD6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0</xdr:row>
      <xdr:rowOff>290512</xdr:rowOff>
    </xdr:from>
    <xdr:to>
      <xdr:col>14</xdr:col>
      <xdr:colOff>438149</xdr:colOff>
      <xdr:row>14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1FB53-ACA2-BF6B-F7A3-ABCA59CBD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466725</xdr:colOff>
      <xdr:row>16</xdr:row>
      <xdr:rowOff>4762</xdr:rowOff>
    </xdr:from>
    <xdr:to>
      <xdr:col>15</xdr:col>
      <xdr:colOff>161925</xdr:colOff>
      <xdr:row>30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469D60-192B-B4D9-5293-359ABCE16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43FD6-400B-5130-07DE-D2C094347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1</xdr:row>
      <xdr:rowOff>14287</xdr:rowOff>
    </xdr:from>
    <xdr:to>
      <xdr:col>15</xdr:col>
      <xdr:colOff>171450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EFC5BE-4FDD-E007-7DBE-201DDD4D1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46090-C3EE-8EFA-2F33-CBDC4CF87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147637</xdr:rowOff>
    </xdr:from>
    <xdr:to>
      <xdr:col>14</xdr:col>
      <xdr:colOff>514350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269F2-8DF2-0231-6DDE-699E157C0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5645C-C0B1-1EF6-3E55-06A25352E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1</xdr:row>
      <xdr:rowOff>33337</xdr:rowOff>
    </xdr:from>
    <xdr:to>
      <xdr:col>15</xdr:col>
      <xdr:colOff>66675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4AA8C-7825-7A7A-87F7-AEB12172D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609600</xdr:colOff>
      <xdr:row>21</xdr:row>
      <xdr:rowOff>157162</xdr:rowOff>
    </xdr:from>
    <xdr:to>
      <xdr:col>13</xdr:col>
      <xdr:colOff>276225</xdr:colOff>
      <xdr:row>36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FF3B3-03E7-9CF4-E2F8-D3F732A13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CF79C-E15C-4892-BAAE-617307FCADA9}" name="Table1" displayName="Table1" ref="A1:G17" totalsRowShown="0" headerRowDxfId="33" dataDxfId="32">
  <autoFilter ref="A1:G17" xr:uid="{D97CF79C-E15C-4892-BAAE-617307FCADA9}"/>
  <tableColumns count="7">
    <tableColumn id="1" xr3:uid="{F0E9BE97-5F15-49DE-97F3-FA456756A099}" name="Student  Name" dataDxfId="31"/>
    <tableColumn id="2" xr3:uid="{B52D537F-CB1B-465E-893A-0839FA0A8047}" name="Math" dataDxfId="30"/>
    <tableColumn id="3" xr3:uid="{3EB87670-73CA-4247-97AC-6AE3A444FAE3}" name="Science" dataDxfId="29"/>
    <tableColumn id="4" xr3:uid="{65725AFD-1F76-41C3-A533-43FCAB5F620E}" name="English" dataDxfId="28"/>
    <tableColumn id="5" xr3:uid="{4D891793-0459-435F-AFFE-348744664BD4}" name="Attendance " dataDxfId="27"/>
    <tableColumn id="6" xr3:uid="{706A620A-A9B7-4073-A716-44C3B2B2A5E1}" name="Study Hours" dataDxfId="26"/>
    <tableColumn id="8" xr3:uid="{55368CD1-3566-41C5-8F37-3417297E6659}" name="Total Marks" dataDxfId="25">
      <calculatedColumnFormula>SUM(Table1[[#This Row],[Math]:[English]])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861C92-1962-4F9C-A867-95627BD0106A}" name="Table2" displayName="Table2" ref="A1:F16" totalsRowShown="0" headerRowDxfId="24" dataDxfId="23">
  <autoFilter ref="A1:F16" xr:uid="{63861C92-1962-4F9C-A867-95627BD0106A}"/>
  <tableColumns count="6">
    <tableColumn id="1" xr3:uid="{A3C01C8E-41DB-4839-9C75-7137167F2F81}" name="Month" dataDxfId="22"/>
    <tableColumn id="2" xr3:uid="{8C55D8B5-4AA4-4394-A2EB-037968681376}" name="Product" dataDxfId="21"/>
    <tableColumn id="3" xr3:uid="{17E49365-124E-4C22-9BE1-6820E226EFBD}" name="Region" dataDxfId="20"/>
    <tableColumn id="4" xr3:uid="{6165C158-E2BF-414D-BBFE-37DB077E26AB}" name="Salesperson" dataDxfId="19"/>
    <tableColumn id="5" xr3:uid="{9D28B4E6-AFF6-4BC0-A638-20D95E924100}" name="Units Sold" dataDxfId="18"/>
    <tableColumn id="6" xr3:uid="{8C0A8D29-F5BF-4E02-960E-EAAB7B3FEB61}" name="Revenu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AC3A2E-CCE6-4F4C-A3B1-6D12606D2BCE}" name="Table3" displayName="Table3" ref="A1:G16" totalsRowShown="0" headerRowDxfId="16" dataDxfId="15">
  <autoFilter ref="A1:G16" xr:uid="{A2AC3A2E-CCE6-4F4C-A3B1-6D12606D2BCE}"/>
  <tableColumns count="7">
    <tableColumn id="1" xr3:uid="{5EAA24C1-1D68-42EE-8B50-365C7D002CC3}" name="Player Name" dataDxfId="14"/>
    <tableColumn id="2" xr3:uid="{BE42B241-0EAA-4312-A36D-E4B8E1F081AA}" name="Matches" dataDxfId="13"/>
    <tableColumn id="3" xr3:uid="{0FA9344B-1DFF-4418-AD48-EF52C0A63CEE}" name="Runs" dataDxfId="12"/>
    <tableColumn id="4" xr3:uid="{E7AF0C98-AFA0-4E77-83CB-6D933C972BCD}" name="Balls Faced" dataDxfId="11"/>
    <tableColumn id="5" xr3:uid="{F1E39999-2DED-4AD9-B0F6-71EC5DA06934}" name="Strike Rate" dataDxfId="10"/>
    <tableColumn id="6" xr3:uid="{0466983D-701D-437F-A2A9-5C4F1E671C7C}" name="Wickets" dataDxfId="9"/>
    <tableColumn id="7" xr3:uid="{41E5E00A-9CAD-47B2-91F2-C58438A783CB}" name="Average Scor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22AFBB-A3A3-4C71-B7D4-F100CE4F6D19}" name="Table4" displayName="Table4" ref="A1:F16" totalsRowShown="0" headerRowDxfId="7" dataDxfId="6">
  <autoFilter ref="A1:F16" xr:uid="{5D22AFBB-A3A3-4C71-B7D4-F100CE4F6D19}"/>
  <tableColumns count="6">
    <tableColumn id="1" xr3:uid="{4086FF8E-873E-47AC-97EE-131428BADED0}" name="Date" dataDxfId="5"/>
    <tableColumn id="2" xr3:uid="{E0ADA50A-4673-486E-84E2-D65010DFB40F}" name="Temperature " dataDxfId="4"/>
    <tableColumn id="3" xr3:uid="{90DCCEB8-7370-437B-A503-A6C0121C3904}" name="Humidity " dataDxfId="3"/>
    <tableColumn id="4" xr3:uid="{DCA7BBFF-7417-4B10-95D2-945096DDB9F7}" name="AQI" dataDxfId="2"/>
    <tableColumn id="5" xr3:uid="{43F9CAC4-737E-48DF-BFCC-432335FC5FCC}" name="PM2.5" dataDxfId="1"/>
    <tableColumn id="6" xr3:uid="{03D80A56-DED8-4345-8134-678BB4888292}" name="PM10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323C48-C028-491D-A547-E7254916F047}" name="Table5" displayName="Table5" ref="A1:G16" totalsRowShown="0" headerRowDxfId="42" dataDxfId="41">
  <autoFilter ref="A1:G16" xr:uid="{44323C48-C028-491D-A547-E7254916F047}"/>
  <tableColumns count="7">
    <tableColumn id="1" xr3:uid="{33C5B86C-32D6-4FA8-8570-64F444117170}" name="Person ID" dataDxfId="40"/>
    <tableColumn id="2" xr3:uid="{90BC1349-C47B-4C9C-9C5D-138E0C5A35AD}" name="Age" dataDxfId="39"/>
    <tableColumn id="3" xr3:uid="{4D0CC8D6-50E4-4989-A881-09A135F2C617}" name="Daily Screen " dataDxfId="38"/>
    <tableColumn id="4" xr3:uid="{B8218BFB-E640-48E8-818C-B86AA59AA0A2}" name="Social Media " dataDxfId="37"/>
    <tableColumn id="5" xr3:uid="{CE96D1AF-2F2A-4843-827A-40BDB82E89CE}" name="Online Classes " dataDxfId="36"/>
    <tableColumn id="6" xr3:uid="{134D2F17-629E-45A0-BC70-4F6864C47C41}" name="Sleep Hours" dataDxfId="35"/>
    <tableColumn id="7" xr3:uid="{5C016E1A-5429-4CEE-9D25-C95098099DB3}" name="Satisfaction Score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8399-CC40-4BA0-9D36-506A76810170}">
  <dimension ref="A1:I39"/>
  <sheetViews>
    <sheetView workbookViewId="0">
      <selection sqref="A1:I39"/>
    </sheetView>
  </sheetViews>
  <sheetFormatPr defaultRowHeight="15" x14ac:dyDescent="0.25"/>
  <sheetData>
    <row r="1" spans="1:9" x14ac:dyDescent="0.25">
      <c r="A1" t="s">
        <v>26</v>
      </c>
    </row>
    <row r="2" spans="1:9" ht="15.75" thickBot="1" x14ac:dyDescent="0.3"/>
    <row r="3" spans="1:9" x14ac:dyDescent="0.25">
      <c r="A3" s="5" t="s">
        <v>27</v>
      </c>
      <c r="B3" s="5"/>
    </row>
    <row r="4" spans="1:9" x14ac:dyDescent="0.25">
      <c r="A4" t="s">
        <v>28</v>
      </c>
      <c r="B4">
        <v>0.97745302398390677</v>
      </c>
    </row>
    <row r="5" spans="1:9" x14ac:dyDescent="0.25">
      <c r="A5" t="s">
        <v>29</v>
      </c>
      <c r="B5">
        <v>0.95541441409528371</v>
      </c>
    </row>
    <row r="6" spans="1:9" x14ac:dyDescent="0.25">
      <c r="A6" t="s">
        <v>30</v>
      </c>
      <c r="B6">
        <v>0.95198475364107482</v>
      </c>
    </row>
    <row r="7" spans="1:9" x14ac:dyDescent="0.25">
      <c r="A7" t="s">
        <v>31</v>
      </c>
      <c r="B7">
        <v>0.40573846477999737</v>
      </c>
    </row>
    <row r="8" spans="1:9" ht="15.75" thickBot="1" x14ac:dyDescent="0.3">
      <c r="A8" s="3" t="s">
        <v>32</v>
      </c>
      <c r="B8" s="3">
        <v>15</v>
      </c>
    </row>
    <row r="10" spans="1:9" ht="15.7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t="s">
        <v>34</v>
      </c>
      <c r="B12">
        <v>1</v>
      </c>
      <c r="C12">
        <v>45.85989187657362</v>
      </c>
      <c r="D12">
        <v>45.85989187657362</v>
      </c>
      <c r="E12">
        <v>278.57405327771789</v>
      </c>
      <c r="F12">
        <v>3.6724065675739633E-10</v>
      </c>
    </row>
    <row r="13" spans="1:9" x14ac:dyDescent="0.25">
      <c r="A13" t="s">
        <v>35</v>
      </c>
      <c r="B13">
        <v>13</v>
      </c>
      <c r="C13">
        <v>2.1401081234263795</v>
      </c>
      <c r="D13">
        <v>0.16462370180202918</v>
      </c>
    </row>
    <row r="14" spans="1:9" ht="15.75" thickBot="1" x14ac:dyDescent="0.3">
      <c r="A14" s="3" t="s">
        <v>36</v>
      </c>
      <c r="B14" s="3">
        <v>14</v>
      </c>
      <c r="C14" s="3">
        <v>48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t="s">
        <v>37</v>
      </c>
      <c r="B17">
        <v>-8.7110859210655409</v>
      </c>
      <c r="C17">
        <v>0.88760673628129272</v>
      </c>
      <c r="D17">
        <v>-9.8141277719020135</v>
      </c>
      <c r="E17">
        <v>2.2358432355632375E-7</v>
      </c>
      <c r="F17">
        <v>-10.628643693392881</v>
      </c>
      <c r="G17">
        <v>-6.7935281487382007</v>
      </c>
      <c r="H17">
        <v>-10.628643693392881</v>
      </c>
      <c r="I17">
        <v>-6.7935281487382007</v>
      </c>
    </row>
    <row r="18" spans="1:9" ht="15.75" thickBot="1" x14ac:dyDescent="0.3">
      <c r="A18" s="3" t="s">
        <v>50</v>
      </c>
      <c r="B18" s="3">
        <v>6.1228160048829937E-2</v>
      </c>
      <c r="C18" s="3">
        <v>3.668435412204866E-3</v>
      </c>
      <c r="D18" s="3">
        <v>16.690537836682132</v>
      </c>
      <c r="E18" s="3">
        <v>3.6724065675739633E-10</v>
      </c>
      <c r="F18" s="3">
        <v>5.3302987166044383E-2</v>
      </c>
      <c r="G18" s="3">
        <v>6.9153332931615491E-2</v>
      </c>
      <c r="H18" s="3">
        <v>5.3302987166044383E-2</v>
      </c>
      <c r="I18" s="3">
        <v>6.9153332931615491E-2</v>
      </c>
    </row>
    <row r="22" spans="1:9" x14ac:dyDescent="0.25">
      <c r="A22" t="s">
        <v>51</v>
      </c>
    </row>
    <row r="23" spans="1:9" ht="15.75" thickBot="1" x14ac:dyDescent="0.3"/>
    <row r="24" spans="1:9" x14ac:dyDescent="0.25">
      <c r="A24" s="4" t="s">
        <v>52</v>
      </c>
      <c r="B24" s="4" t="s">
        <v>53</v>
      </c>
      <c r="C24" s="4" t="s">
        <v>54</v>
      </c>
    </row>
    <row r="25" spans="1:9" x14ac:dyDescent="0.25">
      <c r="A25">
        <v>1</v>
      </c>
      <c r="B25">
        <v>5.677531690409495</v>
      </c>
      <c r="C25">
        <v>-0.67753169040949501</v>
      </c>
    </row>
    <row r="26" spans="1:9" x14ac:dyDescent="0.25">
      <c r="A26">
        <v>2</v>
      </c>
      <c r="B26">
        <v>6.2285851308489644</v>
      </c>
      <c r="C26">
        <v>-0.22858513084896437</v>
      </c>
    </row>
    <row r="27" spans="1:9" x14ac:dyDescent="0.25">
      <c r="A27">
        <v>3</v>
      </c>
      <c r="B27">
        <v>7.8205172921185433</v>
      </c>
      <c r="C27">
        <v>0.1794827078814567</v>
      </c>
    </row>
    <row r="28" spans="1:9" x14ac:dyDescent="0.25">
      <c r="A28">
        <v>4</v>
      </c>
      <c r="B28">
        <v>4.0855995291399161</v>
      </c>
      <c r="C28">
        <v>-8.5599529139916086E-2</v>
      </c>
    </row>
    <row r="29" spans="1:9" x14ac:dyDescent="0.25">
      <c r="A29">
        <v>5</v>
      </c>
      <c r="B29">
        <v>7.085779371532583</v>
      </c>
      <c r="C29">
        <v>-8.5779371532582971E-2</v>
      </c>
    </row>
    <row r="30" spans="1:9" x14ac:dyDescent="0.25">
      <c r="A30">
        <v>6</v>
      </c>
      <c r="B30">
        <v>4.6978811296282146</v>
      </c>
      <c r="C30">
        <v>0.30211887037178542</v>
      </c>
    </row>
    <row r="31" spans="1:9" x14ac:dyDescent="0.25">
      <c r="A31">
        <v>7</v>
      </c>
      <c r="B31">
        <v>8.6777115328021619</v>
      </c>
      <c r="C31">
        <v>0.3222884671978381</v>
      </c>
    </row>
    <row r="32" spans="1:9" x14ac:dyDescent="0.25">
      <c r="A32">
        <v>8</v>
      </c>
      <c r="B32">
        <v>2.7385800080656573</v>
      </c>
      <c r="C32">
        <v>0.26141999193434273</v>
      </c>
    </row>
    <row r="33" spans="1:3" x14ac:dyDescent="0.25">
      <c r="A33">
        <v>9</v>
      </c>
      <c r="B33">
        <v>5.9836724906536443</v>
      </c>
      <c r="C33">
        <v>1.632750934635574E-2</v>
      </c>
    </row>
    <row r="34" spans="1:3" x14ac:dyDescent="0.25">
      <c r="A34">
        <v>10</v>
      </c>
      <c r="B34">
        <v>5.371390890165344</v>
      </c>
      <c r="C34">
        <v>-0.37139089016534399</v>
      </c>
    </row>
    <row r="35" spans="1:3" x14ac:dyDescent="0.25">
      <c r="A35">
        <v>11</v>
      </c>
      <c r="B35">
        <v>7.9429736122162016</v>
      </c>
      <c r="C35">
        <v>5.7026387783798427E-2</v>
      </c>
    </row>
    <row r="36" spans="1:3" x14ac:dyDescent="0.25">
      <c r="A36">
        <v>12</v>
      </c>
      <c r="B36">
        <v>3.963143209042256</v>
      </c>
      <c r="C36">
        <v>3.6856790957743968E-2</v>
      </c>
    </row>
    <row r="37" spans="1:3" x14ac:dyDescent="0.25">
      <c r="A37">
        <v>13</v>
      </c>
      <c r="B37">
        <v>6.7796385712884337</v>
      </c>
      <c r="C37">
        <v>-0.77963857128843372</v>
      </c>
    </row>
    <row r="38" spans="1:3" x14ac:dyDescent="0.25">
      <c r="A38">
        <v>14</v>
      </c>
      <c r="B38">
        <v>4.3917403293840653</v>
      </c>
      <c r="C38">
        <v>0.60825967061593467</v>
      </c>
    </row>
    <row r="39" spans="1:3" ht="15.75" thickBot="1" x14ac:dyDescent="0.3">
      <c r="A39" s="3">
        <v>15</v>
      </c>
      <c r="B39" s="3">
        <v>8.5552552127045001</v>
      </c>
      <c r="C39" s="3">
        <v>0.44474478729549993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28F6-6557-4715-8291-FC9848C88D1A}">
  <dimension ref="A1:B18"/>
  <sheetViews>
    <sheetView workbookViewId="0">
      <selection activeCell="I7" sqref="I7"/>
    </sheetView>
  </sheetViews>
  <sheetFormatPr defaultRowHeight="15" x14ac:dyDescent="0.25"/>
  <sheetData>
    <row r="1" spans="1:2" x14ac:dyDescent="0.25">
      <c r="A1" s="5" t="s">
        <v>25</v>
      </c>
      <c r="B1" s="5"/>
    </row>
    <row r="3" spans="1:2" x14ac:dyDescent="0.25">
      <c r="A3" t="s">
        <v>21</v>
      </c>
      <c r="B3">
        <v>240.26666666666668</v>
      </c>
    </row>
    <row r="4" spans="1:2" x14ac:dyDescent="0.25">
      <c r="A4" t="s">
        <v>31</v>
      </c>
      <c r="B4">
        <v>7.6323039438994806</v>
      </c>
    </row>
    <row r="5" spans="1:2" x14ac:dyDescent="0.25">
      <c r="A5" t="s">
        <v>22</v>
      </c>
      <c r="B5">
        <v>240</v>
      </c>
    </row>
    <row r="6" spans="1:2" x14ac:dyDescent="0.25">
      <c r="A6" t="s">
        <v>55</v>
      </c>
      <c r="B6" t="e">
        <v>#N/A</v>
      </c>
    </row>
    <row r="7" spans="1:2" x14ac:dyDescent="0.25">
      <c r="A7" t="s">
        <v>56</v>
      </c>
      <c r="B7">
        <v>29.559786067915876</v>
      </c>
    </row>
    <row r="8" spans="1:2" x14ac:dyDescent="0.25">
      <c r="A8" t="s">
        <v>57</v>
      </c>
      <c r="B8">
        <v>873.78095238095352</v>
      </c>
    </row>
    <row r="9" spans="1:2" x14ac:dyDescent="0.25">
      <c r="A9" t="s">
        <v>58</v>
      </c>
      <c r="B9">
        <v>-0.95742226017325738</v>
      </c>
    </row>
    <row r="10" spans="1:2" x14ac:dyDescent="0.25">
      <c r="A10" t="s">
        <v>59</v>
      </c>
      <c r="B10">
        <v>-8.0477033849787313E-2</v>
      </c>
    </row>
    <row r="11" spans="1:2" x14ac:dyDescent="0.25">
      <c r="A11" t="s">
        <v>60</v>
      </c>
      <c r="B11">
        <v>97</v>
      </c>
    </row>
    <row r="12" spans="1:2" x14ac:dyDescent="0.25">
      <c r="A12" t="s">
        <v>61</v>
      </c>
      <c r="B12">
        <v>187</v>
      </c>
    </row>
    <row r="13" spans="1:2" x14ac:dyDescent="0.25">
      <c r="A13" t="s">
        <v>62</v>
      </c>
      <c r="B13">
        <v>284</v>
      </c>
    </row>
    <row r="14" spans="1:2" x14ac:dyDescent="0.25">
      <c r="A14" t="s">
        <v>63</v>
      </c>
      <c r="B14">
        <v>3604</v>
      </c>
    </row>
    <row r="15" spans="1:2" x14ac:dyDescent="0.25">
      <c r="A15" t="s">
        <v>64</v>
      </c>
      <c r="B15">
        <v>15</v>
      </c>
    </row>
    <row r="16" spans="1:2" x14ac:dyDescent="0.25">
      <c r="A16" t="s">
        <v>65</v>
      </c>
      <c r="B16">
        <v>284</v>
      </c>
    </row>
    <row r="17" spans="1:2" x14ac:dyDescent="0.25">
      <c r="A17" t="s">
        <v>66</v>
      </c>
      <c r="B17">
        <v>187</v>
      </c>
    </row>
    <row r="18" spans="1:2" ht="15.75" thickBot="1" x14ac:dyDescent="0.3">
      <c r="A18" s="3" t="s">
        <v>67</v>
      </c>
      <c r="B18" s="3">
        <v>16.369663897018157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65B9-C4A1-4081-A647-5943B3330752}">
  <dimension ref="A1:H22"/>
  <sheetViews>
    <sheetView tabSelected="1" workbookViewId="0">
      <selection activeCell="I19" sqref="I19"/>
    </sheetView>
  </sheetViews>
  <sheetFormatPr defaultRowHeight="15" x14ac:dyDescent="0.25"/>
  <cols>
    <col min="1" max="1" width="18.85546875" bestFit="1" customWidth="1"/>
    <col min="2" max="2" width="18" bestFit="1" customWidth="1"/>
    <col min="3" max="3" width="14.28515625" customWidth="1"/>
    <col min="4" max="4" width="13.42578125" customWidth="1"/>
    <col min="5" max="5" width="15.5703125" customWidth="1"/>
    <col min="6" max="6" width="16.140625" customWidth="1"/>
    <col min="7" max="7" width="15.85546875" bestFit="1" customWidth="1"/>
  </cols>
  <sheetData>
    <row r="1" spans="1:8" ht="30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20</v>
      </c>
      <c r="F1" s="1" t="s">
        <v>3</v>
      </c>
      <c r="G1" s="1" t="s">
        <v>24</v>
      </c>
    </row>
    <row r="2" spans="1:8" x14ac:dyDescent="0.25">
      <c r="A2" s="2" t="s">
        <v>4</v>
      </c>
      <c r="B2" s="2">
        <v>78</v>
      </c>
      <c r="C2" s="2">
        <v>82</v>
      </c>
      <c r="D2" s="2">
        <v>75</v>
      </c>
      <c r="E2" s="2">
        <v>88</v>
      </c>
      <c r="F2" s="2">
        <v>5</v>
      </c>
      <c r="G2" s="2">
        <f>SUM(Table1[[#This Row],[Math]:[English]])</f>
        <v>235</v>
      </c>
    </row>
    <row r="3" spans="1:8" x14ac:dyDescent="0.25">
      <c r="A3" s="2" t="s">
        <v>5</v>
      </c>
      <c r="B3" s="2">
        <v>85</v>
      </c>
      <c r="C3" s="2">
        <v>79</v>
      </c>
      <c r="D3" s="2">
        <v>80</v>
      </c>
      <c r="E3" s="2">
        <v>92</v>
      </c>
      <c r="F3" s="2">
        <v>6</v>
      </c>
      <c r="G3" s="2">
        <f>SUM(Table1[[#This Row],[Math]:[English]])</f>
        <v>244</v>
      </c>
    </row>
    <row r="4" spans="1:8" x14ac:dyDescent="0.25">
      <c r="A4" s="2" t="s">
        <v>6</v>
      </c>
      <c r="B4" s="2">
        <v>90</v>
      </c>
      <c r="C4" s="2">
        <v>91</v>
      </c>
      <c r="D4" s="2">
        <v>89</v>
      </c>
      <c r="E4" s="2">
        <v>96</v>
      </c>
      <c r="F4" s="2">
        <v>8</v>
      </c>
      <c r="G4" s="2">
        <f>SUM(Table1[[#This Row],[Math]:[English]])</f>
        <v>270</v>
      </c>
    </row>
    <row r="5" spans="1:8" x14ac:dyDescent="0.25">
      <c r="A5" s="2" t="s">
        <v>7</v>
      </c>
      <c r="B5" s="2">
        <v>67</v>
      </c>
      <c r="C5" s="2">
        <v>72</v>
      </c>
      <c r="D5" s="2">
        <v>70</v>
      </c>
      <c r="E5" s="2">
        <v>80</v>
      </c>
      <c r="F5" s="2">
        <v>4</v>
      </c>
      <c r="G5" s="2">
        <f>SUM(Table1[[#This Row],[Math]:[English]])</f>
        <v>209</v>
      </c>
    </row>
    <row r="6" spans="1:8" x14ac:dyDescent="0.25">
      <c r="A6" s="2" t="s">
        <v>8</v>
      </c>
      <c r="B6" s="2">
        <v>88</v>
      </c>
      <c r="C6" s="2">
        <v>84</v>
      </c>
      <c r="D6" s="2">
        <v>86</v>
      </c>
      <c r="E6" s="2">
        <v>94</v>
      </c>
      <c r="F6" s="2">
        <v>7</v>
      </c>
      <c r="G6" s="2">
        <f>SUM(Table1[[#This Row],[Math]:[English]])</f>
        <v>258</v>
      </c>
    </row>
    <row r="7" spans="1:8" x14ac:dyDescent="0.25">
      <c r="A7" s="2" t="s">
        <v>9</v>
      </c>
      <c r="B7" s="2">
        <v>73</v>
      </c>
      <c r="C7" s="2">
        <v>75</v>
      </c>
      <c r="D7" s="2">
        <v>71</v>
      </c>
      <c r="E7" s="2">
        <v>85</v>
      </c>
      <c r="F7" s="2">
        <v>5</v>
      </c>
      <c r="G7" s="2">
        <f>SUM(Table1[[#This Row],[Math]:[English]])</f>
        <v>219</v>
      </c>
    </row>
    <row r="8" spans="1:8" x14ac:dyDescent="0.25">
      <c r="A8" s="2" t="s">
        <v>10</v>
      </c>
      <c r="B8" s="2">
        <v>95</v>
      </c>
      <c r="C8" s="2">
        <v>93</v>
      </c>
      <c r="D8" s="2">
        <v>96</v>
      </c>
      <c r="E8" s="2">
        <v>98</v>
      </c>
      <c r="F8" s="2">
        <v>9</v>
      </c>
      <c r="G8" s="2">
        <f>SUM(Table1[[#This Row],[Math]:[English]])</f>
        <v>284</v>
      </c>
    </row>
    <row r="9" spans="1:8" x14ac:dyDescent="0.25">
      <c r="A9" s="2" t="s">
        <v>11</v>
      </c>
      <c r="B9" s="2">
        <v>60</v>
      </c>
      <c r="C9" s="2">
        <v>65</v>
      </c>
      <c r="D9" s="2">
        <v>62</v>
      </c>
      <c r="E9" s="2">
        <v>76</v>
      </c>
      <c r="F9" s="2">
        <v>3</v>
      </c>
      <c r="G9" s="2">
        <f>SUM(Table1[[#This Row],[Math]:[English]])</f>
        <v>187</v>
      </c>
    </row>
    <row r="10" spans="1:8" x14ac:dyDescent="0.25">
      <c r="A10" s="2" t="s">
        <v>12</v>
      </c>
      <c r="B10" s="2">
        <v>82</v>
      </c>
      <c r="C10" s="2">
        <v>80</v>
      </c>
      <c r="D10" s="2">
        <v>78</v>
      </c>
      <c r="E10" s="2">
        <v>90</v>
      </c>
      <c r="F10" s="2">
        <v>6</v>
      </c>
      <c r="G10" s="2">
        <f>SUM(Table1[[#This Row],[Math]:[English]])</f>
        <v>240</v>
      </c>
    </row>
    <row r="11" spans="1:8" x14ac:dyDescent="0.25">
      <c r="A11" s="2" t="s">
        <v>13</v>
      </c>
      <c r="B11" s="2">
        <v>77</v>
      </c>
      <c r="C11" s="2">
        <v>74</v>
      </c>
      <c r="D11" s="2">
        <v>79</v>
      </c>
      <c r="E11" s="2">
        <v>87</v>
      </c>
      <c r="F11" s="2">
        <v>5</v>
      </c>
      <c r="G11" s="2">
        <f>SUM(Table1[[#This Row],[Math]:[English]])</f>
        <v>230</v>
      </c>
      <c r="H11">
        <f>CORREL(F2:F16,B2:B16)</f>
        <v>0.96398609470338992</v>
      </c>
    </row>
    <row r="12" spans="1:8" x14ac:dyDescent="0.25">
      <c r="A12" s="2" t="s">
        <v>14</v>
      </c>
      <c r="B12" s="2">
        <v>91</v>
      </c>
      <c r="C12" s="2">
        <v>89</v>
      </c>
      <c r="D12" s="2">
        <v>92</v>
      </c>
      <c r="E12" s="2">
        <v>97</v>
      </c>
      <c r="F12" s="2">
        <v>8</v>
      </c>
      <c r="G12" s="2">
        <f>SUM(Table1[[#This Row],[Math]:[English]])</f>
        <v>272</v>
      </c>
    </row>
    <row r="13" spans="1:8" x14ac:dyDescent="0.25">
      <c r="A13" s="2" t="s">
        <v>15</v>
      </c>
      <c r="B13" s="2">
        <v>69</v>
      </c>
      <c r="C13" s="2">
        <v>70</v>
      </c>
      <c r="D13" s="2">
        <v>68</v>
      </c>
      <c r="E13" s="2">
        <v>82</v>
      </c>
      <c r="F13" s="2">
        <v>4</v>
      </c>
      <c r="G13" s="2">
        <f>SUM(Table1[[#This Row],[Math]:[English]])</f>
        <v>207</v>
      </c>
      <c r="H13">
        <f>CORREL(E2:E16,G2:G16)</f>
        <v>0.98932513481772966</v>
      </c>
    </row>
    <row r="14" spans="1:8" x14ac:dyDescent="0.25">
      <c r="A14" s="2" t="s">
        <v>16</v>
      </c>
      <c r="B14" s="2">
        <v>84</v>
      </c>
      <c r="C14" s="2">
        <v>86</v>
      </c>
      <c r="D14" s="2">
        <v>83</v>
      </c>
      <c r="E14" s="2">
        <v>91</v>
      </c>
      <c r="F14" s="2">
        <v>6</v>
      </c>
      <c r="G14" s="2">
        <f>SUM(Table1[[#This Row],[Math]:[English]])</f>
        <v>253</v>
      </c>
    </row>
    <row r="15" spans="1:8" x14ac:dyDescent="0.25">
      <c r="A15" s="2" t="s">
        <v>17</v>
      </c>
      <c r="B15" s="2">
        <v>72</v>
      </c>
      <c r="C15" s="2">
        <v>68</v>
      </c>
      <c r="D15" s="2">
        <v>74</v>
      </c>
      <c r="E15" s="2">
        <v>84</v>
      </c>
      <c r="F15" s="2">
        <v>5</v>
      </c>
      <c r="G15" s="2">
        <f>SUM(Table1[[#This Row],[Math]:[English]])</f>
        <v>214</v>
      </c>
    </row>
    <row r="16" spans="1:8" x14ac:dyDescent="0.25">
      <c r="A16" s="2" t="s">
        <v>18</v>
      </c>
      <c r="B16" s="2">
        <v>93</v>
      </c>
      <c r="C16" s="2">
        <v>95</v>
      </c>
      <c r="D16" s="2">
        <v>94</v>
      </c>
      <c r="E16" s="2">
        <v>99</v>
      </c>
      <c r="F16" s="2">
        <v>9</v>
      </c>
      <c r="G16" s="2">
        <f>SUM(Table1[[#This Row],[Math]:[English]])</f>
        <v>282</v>
      </c>
    </row>
    <row r="17" spans="1:7" x14ac:dyDescent="0.25">
      <c r="A17" s="2"/>
      <c r="B17" s="2" t="s">
        <v>21</v>
      </c>
      <c r="C17" s="2"/>
      <c r="D17" s="2"/>
      <c r="E17" s="2"/>
      <c r="F17" s="2"/>
      <c r="G17" s="2"/>
    </row>
    <row r="18" spans="1:7" x14ac:dyDescent="0.25">
      <c r="B18">
        <f>AVERAGE(Table1[Math])</f>
        <v>80.266666666666666</v>
      </c>
      <c r="C18">
        <f>AVERAGE(Table1[Science])</f>
        <v>80.2</v>
      </c>
      <c r="D18">
        <f>AVERAGE(Table1[English])</f>
        <v>79.8</v>
      </c>
    </row>
    <row r="19" spans="1:7" x14ac:dyDescent="0.25">
      <c r="B19" t="s">
        <v>22</v>
      </c>
    </row>
    <row r="20" spans="1:7" x14ac:dyDescent="0.25">
      <c r="B20">
        <f>MEDIAN(B2:B16)</f>
        <v>82</v>
      </c>
      <c r="C20">
        <f>MEDIAN(C2:C16)</f>
        <v>80</v>
      </c>
      <c r="D20">
        <f>MEDIAN(D2:D16)</f>
        <v>79</v>
      </c>
      <c r="F20" t="s">
        <v>24</v>
      </c>
    </row>
    <row r="21" spans="1:7" x14ac:dyDescent="0.25">
      <c r="B21" t="s">
        <v>23</v>
      </c>
      <c r="F21">
        <f>SUM(B2:D16)</f>
        <v>3604</v>
      </c>
    </row>
    <row r="22" spans="1:7" x14ac:dyDescent="0.25">
      <c r="B22">
        <f>_xlfn.STDEV.P(B2:B16)</f>
        <v>10.128946418831307</v>
      </c>
      <c r="C22">
        <f>_xlfn.STDEV.P(C2:C16)</f>
        <v>9.1155544720731783</v>
      </c>
      <c r="D22">
        <f>_xlfn.STDEV.P(D2:D16)</f>
        <v>9.7857038581800548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61F2-1330-4E88-B4A3-ACD9E254A5CA}">
  <dimension ref="A1:B18"/>
  <sheetViews>
    <sheetView workbookViewId="0">
      <selection activeCell="E15" sqref="E15"/>
    </sheetView>
  </sheetViews>
  <sheetFormatPr defaultRowHeight="15" x14ac:dyDescent="0.25"/>
  <cols>
    <col min="1" max="1" width="23.28515625" bestFit="1" customWidth="1"/>
  </cols>
  <sheetData>
    <row r="1" spans="1:2" x14ac:dyDescent="0.25">
      <c r="A1" s="5" t="s">
        <v>25</v>
      </c>
      <c r="B1" s="5"/>
    </row>
    <row r="3" spans="1:2" x14ac:dyDescent="0.25">
      <c r="A3" t="s">
        <v>21</v>
      </c>
      <c r="B3">
        <v>926666.66666666663</v>
      </c>
    </row>
    <row r="4" spans="1:2" x14ac:dyDescent="0.25">
      <c r="A4" t="s">
        <v>31</v>
      </c>
      <c r="B4">
        <v>122231.88994953372</v>
      </c>
    </row>
    <row r="5" spans="1:2" x14ac:dyDescent="0.25">
      <c r="A5" t="s">
        <v>22</v>
      </c>
      <c r="B5">
        <v>840000</v>
      </c>
    </row>
    <row r="6" spans="1:2" x14ac:dyDescent="0.25">
      <c r="A6" t="s">
        <v>55</v>
      </c>
      <c r="B6" t="e">
        <v>#N/A</v>
      </c>
    </row>
    <row r="7" spans="1:2" x14ac:dyDescent="0.25">
      <c r="A7" t="s">
        <v>56</v>
      </c>
      <c r="B7">
        <v>473402.07415000186</v>
      </c>
    </row>
    <row r="8" spans="1:2" x14ac:dyDescent="0.25">
      <c r="A8" t="s">
        <v>57</v>
      </c>
      <c r="B8">
        <v>224109523809.52386</v>
      </c>
    </row>
    <row r="9" spans="1:2" x14ac:dyDescent="0.25">
      <c r="A9" t="s">
        <v>58</v>
      </c>
      <c r="B9">
        <v>-1.1935454979256055</v>
      </c>
    </row>
    <row r="10" spans="1:2" x14ac:dyDescent="0.25">
      <c r="A10" t="s">
        <v>59</v>
      </c>
      <c r="B10">
        <v>0.40572043656128254</v>
      </c>
    </row>
    <row r="11" spans="1:2" x14ac:dyDescent="0.25">
      <c r="A11" t="s">
        <v>60</v>
      </c>
      <c r="B11">
        <v>1390000</v>
      </c>
    </row>
    <row r="12" spans="1:2" x14ac:dyDescent="0.25">
      <c r="A12" t="s">
        <v>61</v>
      </c>
      <c r="B12">
        <v>360000</v>
      </c>
    </row>
    <row r="13" spans="1:2" x14ac:dyDescent="0.25">
      <c r="A13" t="s">
        <v>62</v>
      </c>
      <c r="B13">
        <v>1750000</v>
      </c>
    </row>
    <row r="14" spans="1:2" x14ac:dyDescent="0.25">
      <c r="A14" t="s">
        <v>63</v>
      </c>
      <c r="B14">
        <v>13900000</v>
      </c>
    </row>
    <row r="15" spans="1:2" x14ac:dyDescent="0.25">
      <c r="A15" t="s">
        <v>64</v>
      </c>
      <c r="B15">
        <v>15</v>
      </c>
    </row>
    <row r="16" spans="1:2" x14ac:dyDescent="0.25">
      <c r="A16" t="s">
        <v>65</v>
      </c>
      <c r="B16">
        <v>1750000</v>
      </c>
    </row>
    <row r="17" spans="1:2" x14ac:dyDescent="0.25">
      <c r="A17" t="s">
        <v>66</v>
      </c>
      <c r="B17">
        <v>360000</v>
      </c>
    </row>
    <row r="18" spans="1:2" ht="15.75" thickBot="1" x14ac:dyDescent="0.3">
      <c r="A18" s="3" t="s">
        <v>67</v>
      </c>
      <c r="B18" s="3">
        <v>262161.33040279389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AA5-B987-4B94-8CA0-66AB3C86D76E}">
  <dimension ref="A1:I39"/>
  <sheetViews>
    <sheetView workbookViewId="0">
      <selection activeCell="N16" sqref="N16"/>
    </sheetView>
  </sheetViews>
  <sheetFormatPr defaultRowHeight="15" x14ac:dyDescent="0.25"/>
  <sheetData>
    <row r="1" spans="1:9" x14ac:dyDescent="0.25">
      <c r="A1" t="s">
        <v>26</v>
      </c>
    </row>
    <row r="2" spans="1:9" ht="15.75" thickBot="1" x14ac:dyDescent="0.3"/>
    <row r="3" spans="1:9" x14ac:dyDescent="0.25">
      <c r="A3" s="5" t="s">
        <v>27</v>
      </c>
      <c r="B3" s="5"/>
    </row>
    <row r="4" spans="1:9" x14ac:dyDescent="0.25">
      <c r="A4" t="s">
        <v>28</v>
      </c>
      <c r="B4">
        <v>0.35633870493346115</v>
      </c>
    </row>
    <row r="5" spans="1:9" x14ac:dyDescent="0.25">
      <c r="A5" t="s">
        <v>29</v>
      </c>
      <c r="B5">
        <v>0.1269772726336563</v>
      </c>
    </row>
    <row r="6" spans="1:9" x14ac:dyDescent="0.25">
      <c r="A6" t="s">
        <v>30</v>
      </c>
      <c r="B6">
        <v>5.9821678220860625E-2</v>
      </c>
    </row>
    <row r="7" spans="1:9" x14ac:dyDescent="0.25">
      <c r="A7" t="s">
        <v>31</v>
      </c>
      <c r="B7">
        <v>459023.87300657918</v>
      </c>
    </row>
    <row r="8" spans="1:9" ht="15.75" thickBot="1" x14ac:dyDescent="0.3">
      <c r="A8" s="3" t="s">
        <v>32</v>
      </c>
      <c r="B8" s="3">
        <v>15</v>
      </c>
    </row>
    <row r="10" spans="1:9" ht="15.7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t="s">
        <v>34</v>
      </c>
      <c r="B12">
        <v>1</v>
      </c>
      <c r="C12">
        <v>398395425463.85107</v>
      </c>
      <c r="D12">
        <v>398395425463.85107</v>
      </c>
      <c r="E12">
        <v>1.8907921781340433</v>
      </c>
      <c r="F12">
        <v>0.19234816529816617</v>
      </c>
    </row>
    <row r="13" spans="1:9" x14ac:dyDescent="0.25">
      <c r="A13" t="s">
        <v>35</v>
      </c>
      <c r="B13">
        <v>13</v>
      </c>
      <c r="C13">
        <v>2739137907869.4819</v>
      </c>
      <c r="D13">
        <v>210702915989.96014</v>
      </c>
    </row>
    <row r="14" spans="1:9" ht="15.75" thickBot="1" x14ac:dyDescent="0.3">
      <c r="A14" s="3" t="s">
        <v>36</v>
      </c>
      <c r="B14" s="3">
        <v>14</v>
      </c>
      <c r="C14" s="3">
        <v>3137533333333.333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t="s">
        <v>37</v>
      </c>
      <c r="B17">
        <v>396074.85604606511</v>
      </c>
      <c r="C17">
        <v>403659.37649335928</v>
      </c>
      <c r="D17">
        <v>0.98121059267052868</v>
      </c>
      <c r="E17">
        <v>0.34439779502601076</v>
      </c>
      <c r="F17">
        <v>-475978.20881750202</v>
      </c>
      <c r="G17">
        <v>1268127.9209096322</v>
      </c>
      <c r="H17">
        <v>-475978.20881750202</v>
      </c>
      <c r="I17">
        <v>1268127.9209096322</v>
      </c>
    </row>
    <row r="18" spans="1:9" ht="15.75" thickBot="1" x14ac:dyDescent="0.3">
      <c r="A18" s="3" t="s">
        <v>50</v>
      </c>
      <c r="B18" s="3">
        <v>16933.781190019199</v>
      </c>
      <c r="C18" s="3">
        <v>12314.932768418279</v>
      </c>
      <c r="D18" s="3">
        <v>1.3750607907049226</v>
      </c>
      <c r="E18" s="3">
        <v>0.1923481652981657</v>
      </c>
      <c r="F18" s="3">
        <v>-9671.0135693182165</v>
      </c>
      <c r="G18" s="3">
        <v>43538.575949356615</v>
      </c>
      <c r="H18" s="3">
        <v>-9671.0135693182165</v>
      </c>
      <c r="I18" s="3">
        <v>43538.575949356615</v>
      </c>
    </row>
    <row r="22" spans="1:9" x14ac:dyDescent="0.25">
      <c r="A22" t="s">
        <v>51</v>
      </c>
    </row>
    <row r="23" spans="1:9" ht="15.75" thickBot="1" x14ac:dyDescent="0.3"/>
    <row r="24" spans="1:9" x14ac:dyDescent="0.25">
      <c r="A24" s="4" t="s">
        <v>52</v>
      </c>
      <c r="B24" s="4" t="s">
        <v>53</v>
      </c>
      <c r="C24" s="4" t="s">
        <v>54</v>
      </c>
    </row>
    <row r="25" spans="1:9" x14ac:dyDescent="0.25">
      <c r="A25">
        <v>1</v>
      </c>
      <c r="B25">
        <v>819419.38579654507</v>
      </c>
      <c r="C25">
        <v>430580.61420345493</v>
      </c>
    </row>
    <row r="26" spans="1:9" x14ac:dyDescent="0.25">
      <c r="A26">
        <v>2</v>
      </c>
      <c r="B26">
        <v>1073426.103646833</v>
      </c>
      <c r="C26">
        <v>-273426.10364683298</v>
      </c>
    </row>
    <row r="27" spans="1:9" x14ac:dyDescent="0.25">
      <c r="A27">
        <v>3</v>
      </c>
      <c r="B27">
        <v>700882.91746641067</v>
      </c>
      <c r="C27">
        <v>-340882.91746641067</v>
      </c>
    </row>
    <row r="28" spans="1:9" x14ac:dyDescent="0.25">
      <c r="A28">
        <v>4</v>
      </c>
      <c r="B28">
        <v>904088.29174664104</v>
      </c>
      <c r="C28">
        <v>595911.70825335896</v>
      </c>
    </row>
    <row r="29" spans="1:9" x14ac:dyDescent="0.25">
      <c r="A29">
        <v>5</v>
      </c>
      <c r="B29">
        <v>1158095.009596929</v>
      </c>
      <c r="C29">
        <v>-258095.00959692895</v>
      </c>
    </row>
    <row r="30" spans="1:9" x14ac:dyDescent="0.25">
      <c r="A30">
        <v>6</v>
      </c>
      <c r="B30">
        <v>734750.4798464491</v>
      </c>
      <c r="C30">
        <v>-334750.4798464491</v>
      </c>
    </row>
    <row r="31" spans="1:9" x14ac:dyDescent="0.25">
      <c r="A31">
        <v>7</v>
      </c>
      <c r="B31">
        <v>870220.72936660261</v>
      </c>
      <c r="C31">
        <v>529779.27063339739</v>
      </c>
    </row>
    <row r="32" spans="1:9" x14ac:dyDescent="0.25">
      <c r="A32">
        <v>8</v>
      </c>
      <c r="B32">
        <v>1039558.5412667947</v>
      </c>
      <c r="C32">
        <v>-279558.54126679467</v>
      </c>
    </row>
    <row r="33" spans="1:3" x14ac:dyDescent="0.25">
      <c r="A33">
        <v>9</v>
      </c>
      <c r="B33">
        <v>768618.04222648754</v>
      </c>
      <c r="C33">
        <v>-328618.04222648754</v>
      </c>
    </row>
    <row r="34" spans="1:3" x14ac:dyDescent="0.25">
      <c r="A34">
        <v>10</v>
      </c>
      <c r="B34">
        <v>988757.19769673713</v>
      </c>
      <c r="C34">
        <v>761242.80230326287</v>
      </c>
    </row>
    <row r="35" spans="1:3" x14ac:dyDescent="0.25">
      <c r="A35">
        <v>11</v>
      </c>
      <c r="B35">
        <v>1242763.9155470249</v>
      </c>
      <c r="C35">
        <v>-242763.91554702492</v>
      </c>
    </row>
    <row r="36" spans="1:3" x14ac:dyDescent="0.25">
      <c r="A36">
        <v>12</v>
      </c>
      <c r="B36">
        <v>802485.60460652586</v>
      </c>
      <c r="C36">
        <v>-322485.60460652586</v>
      </c>
    </row>
    <row r="37" spans="1:3" x14ac:dyDescent="0.25">
      <c r="A37">
        <v>13</v>
      </c>
      <c r="B37">
        <v>937955.85412667948</v>
      </c>
      <c r="C37">
        <v>662044.14587332052</v>
      </c>
    </row>
    <row r="38" spans="1:3" x14ac:dyDescent="0.25">
      <c r="A38">
        <v>14</v>
      </c>
      <c r="B38">
        <v>1107293.6660268714</v>
      </c>
      <c r="C38">
        <v>-267293.66602687142</v>
      </c>
    </row>
    <row r="39" spans="1:3" ht="15.75" thickBot="1" x14ac:dyDescent="0.3">
      <c r="A39" s="3">
        <v>15</v>
      </c>
      <c r="B39" s="3">
        <v>751684.2610364682</v>
      </c>
      <c r="C39" s="3">
        <v>-331684.2610364682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6299-9F64-4EA4-8721-09797E396F27}">
  <dimension ref="A1:G20"/>
  <sheetViews>
    <sheetView workbookViewId="0">
      <selection activeCell="R9" sqref="R9"/>
    </sheetView>
  </sheetViews>
  <sheetFormatPr defaultRowHeight="15" x14ac:dyDescent="0.25"/>
  <cols>
    <col min="2" max="2" width="10" customWidth="1"/>
    <col min="3" max="3" width="9.28515625" customWidth="1"/>
    <col min="4" max="4" width="13.85546875" customWidth="1"/>
    <col min="5" max="5" width="15.140625" customWidth="1"/>
    <col min="6" max="6" width="11" customWidth="1"/>
  </cols>
  <sheetData>
    <row r="1" spans="1:6" ht="30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x14ac:dyDescent="0.25">
      <c r="A2" s="2" t="s">
        <v>74</v>
      </c>
      <c r="B2" s="2" t="s">
        <v>75</v>
      </c>
      <c r="C2" s="2" t="s">
        <v>76</v>
      </c>
      <c r="D2" s="2" t="s">
        <v>4</v>
      </c>
      <c r="E2" s="2">
        <v>25</v>
      </c>
      <c r="F2" s="2">
        <v>1250000</v>
      </c>
    </row>
    <row r="3" spans="1:6" x14ac:dyDescent="0.25">
      <c r="A3" s="2" t="s">
        <v>74</v>
      </c>
      <c r="B3" s="2" t="s">
        <v>77</v>
      </c>
      <c r="C3" s="2" t="s">
        <v>78</v>
      </c>
      <c r="D3" s="2" t="s">
        <v>5</v>
      </c>
      <c r="E3" s="2">
        <v>40</v>
      </c>
      <c r="F3" s="2">
        <v>800000</v>
      </c>
    </row>
    <row r="4" spans="1:6" x14ac:dyDescent="0.25">
      <c r="A4" s="2" t="s">
        <v>74</v>
      </c>
      <c r="B4" s="2" t="s">
        <v>79</v>
      </c>
      <c r="C4" s="2" t="s">
        <v>80</v>
      </c>
      <c r="D4" s="2" t="s">
        <v>6</v>
      </c>
      <c r="E4" s="2">
        <v>18</v>
      </c>
      <c r="F4" s="2">
        <v>360000</v>
      </c>
    </row>
    <row r="5" spans="1:6" x14ac:dyDescent="0.25">
      <c r="A5" s="2" t="s">
        <v>81</v>
      </c>
      <c r="B5" s="2" t="s">
        <v>75</v>
      </c>
      <c r="C5" s="2" t="s">
        <v>82</v>
      </c>
      <c r="D5" s="2" t="s">
        <v>7</v>
      </c>
      <c r="E5" s="2">
        <v>30</v>
      </c>
      <c r="F5" s="2">
        <v>1500000</v>
      </c>
    </row>
    <row r="6" spans="1:6" x14ac:dyDescent="0.25">
      <c r="A6" s="2" t="s">
        <v>81</v>
      </c>
      <c r="B6" s="2" t="s">
        <v>77</v>
      </c>
      <c r="C6" s="2" t="s">
        <v>76</v>
      </c>
      <c r="D6" s="2" t="s">
        <v>8</v>
      </c>
      <c r="E6" s="2">
        <v>45</v>
      </c>
      <c r="F6" s="2">
        <v>900000</v>
      </c>
    </row>
    <row r="7" spans="1:6" x14ac:dyDescent="0.25">
      <c r="A7" s="2" t="s">
        <v>81</v>
      </c>
      <c r="B7" s="2" t="s">
        <v>79</v>
      </c>
      <c r="C7" s="2" t="s">
        <v>78</v>
      </c>
      <c r="D7" s="2" t="s">
        <v>9</v>
      </c>
      <c r="E7" s="2">
        <v>20</v>
      </c>
      <c r="F7" s="2">
        <v>400000</v>
      </c>
    </row>
    <row r="8" spans="1:6" x14ac:dyDescent="0.25">
      <c r="A8" s="2" t="s">
        <v>83</v>
      </c>
      <c r="B8" s="2" t="s">
        <v>75</v>
      </c>
      <c r="C8" s="2" t="s">
        <v>80</v>
      </c>
      <c r="D8" s="2" t="s">
        <v>10</v>
      </c>
      <c r="E8" s="2">
        <v>28</v>
      </c>
      <c r="F8" s="2">
        <v>1400000</v>
      </c>
    </row>
    <row r="9" spans="1:6" x14ac:dyDescent="0.25">
      <c r="A9" s="2" t="s">
        <v>83</v>
      </c>
      <c r="B9" s="2" t="s">
        <v>77</v>
      </c>
      <c r="C9" s="2" t="s">
        <v>82</v>
      </c>
      <c r="D9" s="2" t="s">
        <v>11</v>
      </c>
      <c r="E9" s="2">
        <v>38</v>
      </c>
      <c r="F9" s="2">
        <v>760000</v>
      </c>
    </row>
    <row r="10" spans="1:6" x14ac:dyDescent="0.25">
      <c r="A10" s="2" t="s">
        <v>83</v>
      </c>
      <c r="B10" s="2" t="s">
        <v>79</v>
      </c>
      <c r="C10" s="2" t="s">
        <v>76</v>
      </c>
      <c r="D10" s="2" t="s">
        <v>12</v>
      </c>
      <c r="E10" s="2">
        <v>22</v>
      </c>
      <c r="F10" s="2">
        <v>440000</v>
      </c>
    </row>
    <row r="11" spans="1:6" x14ac:dyDescent="0.25">
      <c r="A11" s="2" t="s">
        <v>84</v>
      </c>
      <c r="B11" s="2" t="s">
        <v>75</v>
      </c>
      <c r="C11" s="2" t="s">
        <v>78</v>
      </c>
      <c r="D11" s="2" t="s">
        <v>13</v>
      </c>
      <c r="E11" s="2">
        <v>35</v>
      </c>
      <c r="F11" s="2">
        <v>1750000</v>
      </c>
    </row>
    <row r="12" spans="1:6" x14ac:dyDescent="0.25">
      <c r="A12" s="2" t="s">
        <v>84</v>
      </c>
      <c r="B12" s="2" t="s">
        <v>77</v>
      </c>
      <c r="C12" s="2" t="s">
        <v>80</v>
      </c>
      <c r="D12" s="2" t="s">
        <v>14</v>
      </c>
      <c r="E12" s="2">
        <v>50</v>
      </c>
      <c r="F12" s="2">
        <v>1000000</v>
      </c>
    </row>
    <row r="13" spans="1:6" x14ac:dyDescent="0.25">
      <c r="A13" s="2" t="s">
        <v>84</v>
      </c>
      <c r="B13" s="2" t="s">
        <v>79</v>
      </c>
      <c r="C13" s="2" t="s">
        <v>82</v>
      </c>
      <c r="D13" s="2" t="s">
        <v>15</v>
      </c>
      <c r="E13" s="2">
        <v>24</v>
      </c>
      <c r="F13" s="2">
        <v>480000</v>
      </c>
    </row>
    <row r="14" spans="1:6" x14ac:dyDescent="0.25">
      <c r="A14" s="2" t="s">
        <v>85</v>
      </c>
      <c r="B14" s="2" t="s">
        <v>75</v>
      </c>
      <c r="C14" s="2" t="s">
        <v>76</v>
      </c>
      <c r="D14" s="2" t="s">
        <v>16</v>
      </c>
      <c r="E14" s="2">
        <v>32</v>
      </c>
      <c r="F14" s="2">
        <v>1600000</v>
      </c>
    </row>
    <row r="15" spans="1:6" x14ac:dyDescent="0.25">
      <c r="A15" s="2" t="s">
        <v>85</v>
      </c>
      <c r="B15" s="2" t="s">
        <v>77</v>
      </c>
      <c r="C15" s="2" t="s">
        <v>78</v>
      </c>
      <c r="D15" s="2" t="s">
        <v>17</v>
      </c>
      <c r="E15" s="2">
        <v>42</v>
      </c>
      <c r="F15" s="2">
        <v>840000</v>
      </c>
    </row>
    <row r="16" spans="1:6" x14ac:dyDescent="0.25">
      <c r="A16" s="2" t="s">
        <v>85</v>
      </c>
      <c r="B16" s="2" t="s">
        <v>79</v>
      </c>
      <c r="C16" s="2" t="s">
        <v>80</v>
      </c>
      <c r="D16" s="2" t="s">
        <v>18</v>
      </c>
      <c r="E16" s="2">
        <v>21</v>
      </c>
      <c r="F16" s="2">
        <v>420000</v>
      </c>
    </row>
    <row r="18" spans="5:7" x14ac:dyDescent="0.25">
      <c r="F18">
        <f>SUM(Table2[Revenue])</f>
        <v>13900000</v>
      </c>
    </row>
    <row r="19" spans="5:7" x14ac:dyDescent="0.25">
      <c r="E19">
        <f>MEDIAN(Table2[Revenue])</f>
        <v>840000</v>
      </c>
      <c r="G19">
        <f>_xlfn.STDEV.P(Table2[Revenue])</f>
        <v>457349.85392901232</v>
      </c>
    </row>
    <row r="20" spans="5:7" x14ac:dyDescent="0.25">
      <c r="F20">
        <f>AVERAGE(Table2[Revenue])</f>
        <v>926666.66666666663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A4F4-A778-425D-AFD3-5787CA3CDCC4}">
  <dimension ref="A1:I39"/>
  <sheetViews>
    <sheetView workbookViewId="0">
      <selection activeCell="M14" sqref="M14"/>
    </sheetView>
  </sheetViews>
  <sheetFormatPr defaultRowHeight="15" x14ac:dyDescent="0.25"/>
  <sheetData>
    <row r="1" spans="1:9" x14ac:dyDescent="0.25">
      <c r="A1" t="s">
        <v>26</v>
      </c>
    </row>
    <row r="2" spans="1:9" ht="15.75" thickBot="1" x14ac:dyDescent="0.3"/>
    <row r="3" spans="1:9" x14ac:dyDescent="0.25">
      <c r="A3" s="5" t="s">
        <v>27</v>
      </c>
      <c r="B3" s="5"/>
    </row>
    <row r="4" spans="1:9" x14ac:dyDescent="0.25">
      <c r="A4" t="s">
        <v>28</v>
      </c>
      <c r="B4">
        <v>0.14916309794055982</v>
      </c>
    </row>
    <row r="5" spans="1:9" x14ac:dyDescent="0.25">
      <c r="A5" t="s">
        <v>29</v>
      </c>
      <c r="B5">
        <v>2.2249629787225039E-2</v>
      </c>
    </row>
    <row r="6" spans="1:9" x14ac:dyDescent="0.25">
      <c r="A6" t="s">
        <v>30</v>
      </c>
      <c r="B6">
        <v>-5.2961937152219189E-2</v>
      </c>
    </row>
    <row r="7" spans="1:9" x14ac:dyDescent="0.25">
      <c r="A7" t="s">
        <v>31</v>
      </c>
      <c r="B7">
        <v>214.98840651653705</v>
      </c>
    </row>
    <row r="8" spans="1:9" ht="15.75" thickBot="1" x14ac:dyDescent="0.3">
      <c r="A8" s="3" t="s">
        <v>32</v>
      </c>
      <c r="B8" s="3">
        <v>15</v>
      </c>
    </row>
    <row r="10" spans="1:9" ht="15.7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t="s">
        <v>34</v>
      </c>
      <c r="B12">
        <v>1</v>
      </c>
      <c r="C12">
        <v>13673.139158576028</v>
      </c>
      <c r="D12">
        <v>13673.139158576028</v>
      </c>
      <c r="E12">
        <v>0.29582723366392683</v>
      </c>
      <c r="F12">
        <v>0.59571561127958195</v>
      </c>
    </row>
    <row r="13" spans="1:9" x14ac:dyDescent="0.25">
      <c r="A13" t="s">
        <v>35</v>
      </c>
      <c r="B13">
        <v>13</v>
      </c>
      <c r="C13">
        <v>600860.19417475734</v>
      </c>
      <c r="D13">
        <v>46220.014936519794</v>
      </c>
    </row>
    <row r="14" spans="1:9" ht="15.75" thickBot="1" x14ac:dyDescent="0.3">
      <c r="A14" s="3" t="s">
        <v>36</v>
      </c>
      <c r="B14" s="3">
        <v>14</v>
      </c>
      <c r="C14" s="3">
        <v>614533.33333333337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t="s">
        <v>37</v>
      </c>
      <c r="B17">
        <v>-51.067961165048416</v>
      </c>
      <c r="C17">
        <v>763.92655460109438</v>
      </c>
      <c r="D17">
        <v>-6.6849307511917797E-2</v>
      </c>
      <c r="E17">
        <v>0.94771884934543682</v>
      </c>
      <c r="F17">
        <v>-1701.4309455648649</v>
      </c>
      <c r="G17">
        <v>1599.295023234768</v>
      </c>
      <c r="H17">
        <v>-1701.4309455648649</v>
      </c>
      <c r="I17">
        <v>1599.295023234768</v>
      </c>
    </row>
    <row r="18" spans="1:9" ht="15.75" thickBot="1" x14ac:dyDescent="0.3">
      <c r="A18" s="3" t="s">
        <v>50</v>
      </c>
      <c r="B18" s="3">
        <v>31.553398058252416</v>
      </c>
      <c r="C18" s="3">
        <v>58.013231837169599</v>
      </c>
      <c r="D18" s="3">
        <v>0.54390002175393148</v>
      </c>
      <c r="E18" s="3">
        <v>0.59571561127958161</v>
      </c>
      <c r="F18" s="3">
        <v>-93.776569662878188</v>
      </c>
      <c r="G18" s="3">
        <v>156.88336577938301</v>
      </c>
      <c r="H18" s="3">
        <v>-93.776569662878188</v>
      </c>
      <c r="I18" s="3">
        <v>156.88336577938301</v>
      </c>
    </row>
    <row r="22" spans="1:9" x14ac:dyDescent="0.25">
      <c r="A22" t="s">
        <v>51</v>
      </c>
    </row>
    <row r="23" spans="1:9" ht="15.75" thickBot="1" x14ac:dyDescent="0.3"/>
    <row r="24" spans="1:9" x14ac:dyDescent="0.25">
      <c r="A24" s="4" t="s">
        <v>52</v>
      </c>
      <c r="B24" s="4" t="s">
        <v>53</v>
      </c>
      <c r="C24" s="4" t="s">
        <v>54</v>
      </c>
    </row>
    <row r="25" spans="1:9" x14ac:dyDescent="0.25">
      <c r="A25">
        <v>1</v>
      </c>
      <c r="B25">
        <v>390.67961165048541</v>
      </c>
      <c r="C25">
        <v>229.32038834951459</v>
      </c>
    </row>
    <row r="26" spans="1:9" x14ac:dyDescent="0.25">
      <c r="A26">
        <v>2</v>
      </c>
      <c r="B26">
        <v>390.67961165048541</v>
      </c>
      <c r="C26">
        <v>89.320388349514587</v>
      </c>
    </row>
    <row r="27" spans="1:9" x14ac:dyDescent="0.25">
      <c r="A27">
        <v>3</v>
      </c>
      <c r="B27">
        <v>327.57281553398059</v>
      </c>
      <c r="C27">
        <v>-17.572815533980588</v>
      </c>
    </row>
    <row r="28" spans="1:9" x14ac:dyDescent="0.25">
      <c r="A28">
        <v>4</v>
      </c>
      <c r="B28">
        <v>390.67961165048541</v>
      </c>
      <c r="C28">
        <v>279.32038834951459</v>
      </c>
    </row>
    <row r="29" spans="1:9" x14ac:dyDescent="0.25">
      <c r="A29">
        <v>5</v>
      </c>
      <c r="B29">
        <v>359.126213592233</v>
      </c>
      <c r="C29">
        <v>180.873786407767</v>
      </c>
    </row>
    <row r="30" spans="1:9" x14ac:dyDescent="0.25">
      <c r="A30">
        <v>6</v>
      </c>
      <c r="B30">
        <v>327.57281553398059</v>
      </c>
      <c r="C30">
        <v>22.427184466019412</v>
      </c>
    </row>
    <row r="31" spans="1:9" x14ac:dyDescent="0.25">
      <c r="A31">
        <v>7</v>
      </c>
      <c r="B31">
        <v>390.67961165048541</v>
      </c>
      <c r="C31">
        <v>-100.67961165048541</v>
      </c>
    </row>
    <row r="32" spans="1:9" x14ac:dyDescent="0.25">
      <c r="A32">
        <v>8</v>
      </c>
      <c r="B32">
        <v>390.67961165048541</v>
      </c>
      <c r="C32">
        <v>-330.67961165048541</v>
      </c>
    </row>
    <row r="33" spans="1:3" x14ac:dyDescent="0.25">
      <c r="A33">
        <v>9</v>
      </c>
      <c r="B33">
        <v>359.126213592233</v>
      </c>
      <c r="C33">
        <v>-319.126213592233</v>
      </c>
    </row>
    <row r="34" spans="1:3" x14ac:dyDescent="0.25">
      <c r="A34">
        <v>10</v>
      </c>
      <c r="B34">
        <v>390.67961165048541</v>
      </c>
      <c r="C34">
        <v>-210.67961165048541</v>
      </c>
    </row>
    <row r="35" spans="1:3" x14ac:dyDescent="0.25">
      <c r="A35">
        <v>11</v>
      </c>
      <c r="B35">
        <v>359.126213592233</v>
      </c>
      <c r="C35">
        <v>150.873786407767</v>
      </c>
    </row>
    <row r="36" spans="1:3" x14ac:dyDescent="0.25">
      <c r="A36">
        <v>12</v>
      </c>
      <c r="B36">
        <v>390.67961165048541</v>
      </c>
      <c r="C36">
        <v>199.32038834951459</v>
      </c>
    </row>
    <row r="37" spans="1:3" x14ac:dyDescent="0.25">
      <c r="A37">
        <v>13</v>
      </c>
      <c r="B37">
        <v>327.57281553398059</v>
      </c>
      <c r="C37">
        <v>102.42718446601941</v>
      </c>
    </row>
    <row r="38" spans="1:3" x14ac:dyDescent="0.25">
      <c r="A38">
        <v>14</v>
      </c>
      <c r="B38">
        <v>296.01941747572818</v>
      </c>
      <c r="C38">
        <v>23.980582524271824</v>
      </c>
    </row>
    <row r="39" spans="1:3" ht="15.75" thickBot="1" x14ac:dyDescent="0.3">
      <c r="A39" s="3">
        <v>15</v>
      </c>
      <c r="B39" s="3">
        <v>359.126213592233</v>
      </c>
      <c r="C39" s="3">
        <v>-299.126213592233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4679-4823-487A-8A13-C5D2C253EF3D}">
  <dimension ref="A1:B18"/>
  <sheetViews>
    <sheetView workbookViewId="0">
      <selection activeCell="L8" sqref="L8"/>
    </sheetView>
  </sheetViews>
  <sheetFormatPr defaultRowHeight="15" x14ac:dyDescent="0.25"/>
  <sheetData>
    <row r="1" spans="1:2" x14ac:dyDescent="0.25">
      <c r="A1" s="5" t="s">
        <v>25</v>
      </c>
      <c r="B1" s="5"/>
    </row>
    <row r="3" spans="1:2" x14ac:dyDescent="0.25">
      <c r="A3" t="s">
        <v>21</v>
      </c>
      <c r="B3">
        <v>363.33333333333331</v>
      </c>
    </row>
    <row r="4" spans="1:2" x14ac:dyDescent="0.25">
      <c r="A4" t="s">
        <v>31</v>
      </c>
      <c r="B4">
        <v>54.095741111008046</v>
      </c>
    </row>
    <row r="5" spans="1:2" x14ac:dyDescent="0.25">
      <c r="A5" t="s">
        <v>22</v>
      </c>
      <c r="B5">
        <v>350</v>
      </c>
    </row>
    <row r="6" spans="1:2" x14ac:dyDescent="0.25">
      <c r="A6" t="s">
        <v>55</v>
      </c>
      <c r="B6">
        <v>60</v>
      </c>
    </row>
    <row r="7" spans="1:2" x14ac:dyDescent="0.25">
      <c r="A7" t="s">
        <v>56</v>
      </c>
      <c r="B7">
        <v>209.51190442368207</v>
      </c>
    </row>
    <row r="8" spans="1:2" x14ac:dyDescent="0.25">
      <c r="A8" t="s">
        <v>57</v>
      </c>
      <c r="B8">
        <v>43895.238095238092</v>
      </c>
    </row>
    <row r="9" spans="1:2" x14ac:dyDescent="0.25">
      <c r="A9" t="s">
        <v>58</v>
      </c>
      <c r="B9">
        <v>-1.117342391624681</v>
      </c>
    </row>
    <row r="10" spans="1:2" x14ac:dyDescent="0.25">
      <c r="A10" t="s">
        <v>59</v>
      </c>
      <c r="B10">
        <v>-0.25511368954441127</v>
      </c>
    </row>
    <row r="11" spans="1:2" x14ac:dyDescent="0.25">
      <c r="A11" t="s">
        <v>60</v>
      </c>
      <c r="B11">
        <v>630</v>
      </c>
    </row>
    <row r="12" spans="1:2" x14ac:dyDescent="0.25">
      <c r="A12" t="s">
        <v>61</v>
      </c>
      <c r="B12">
        <v>40</v>
      </c>
    </row>
    <row r="13" spans="1:2" x14ac:dyDescent="0.25">
      <c r="A13" t="s">
        <v>62</v>
      </c>
      <c r="B13">
        <v>670</v>
      </c>
    </row>
    <row r="14" spans="1:2" x14ac:dyDescent="0.25">
      <c r="A14" t="s">
        <v>63</v>
      </c>
      <c r="B14">
        <v>5450</v>
      </c>
    </row>
    <row r="15" spans="1:2" x14ac:dyDescent="0.25">
      <c r="A15" t="s">
        <v>64</v>
      </c>
      <c r="B15">
        <v>15</v>
      </c>
    </row>
    <row r="16" spans="1:2" x14ac:dyDescent="0.25">
      <c r="A16" t="s">
        <v>65</v>
      </c>
      <c r="B16">
        <v>670</v>
      </c>
    </row>
    <row r="17" spans="1:2" x14ac:dyDescent="0.25">
      <c r="A17" t="s">
        <v>66</v>
      </c>
      <c r="B17">
        <v>40</v>
      </c>
    </row>
    <row r="18" spans="1:2" ht="15.75" thickBot="1" x14ac:dyDescent="0.3">
      <c r="A18" s="3" t="s">
        <v>67</v>
      </c>
      <c r="B18" s="3">
        <v>116.02382540793791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06F8-76C0-4DA6-B033-92E079542B72}">
  <dimension ref="A1:B18"/>
  <sheetViews>
    <sheetView workbookViewId="0">
      <selection sqref="A1:B18"/>
    </sheetView>
  </sheetViews>
  <sheetFormatPr defaultRowHeight="15" x14ac:dyDescent="0.25"/>
  <sheetData>
    <row r="1" spans="1:2" x14ac:dyDescent="0.25">
      <c r="A1" s="5" t="s">
        <v>25</v>
      </c>
      <c r="B1" s="5"/>
    </row>
    <row r="3" spans="1:2" x14ac:dyDescent="0.25">
      <c r="A3" t="s">
        <v>21</v>
      </c>
      <c r="B3">
        <v>120.4</v>
      </c>
    </row>
    <row r="4" spans="1:2" x14ac:dyDescent="0.25">
      <c r="A4" t="s">
        <v>31</v>
      </c>
      <c r="B4">
        <v>5.2814139520902312</v>
      </c>
    </row>
    <row r="5" spans="1:2" x14ac:dyDescent="0.25">
      <c r="A5" t="s">
        <v>22</v>
      </c>
      <c r="B5">
        <v>115</v>
      </c>
    </row>
    <row r="6" spans="1:2" x14ac:dyDescent="0.25">
      <c r="A6" t="s">
        <v>55</v>
      </c>
      <c r="B6">
        <v>100</v>
      </c>
    </row>
    <row r="7" spans="1:2" x14ac:dyDescent="0.25">
      <c r="A7" t="s">
        <v>56</v>
      </c>
      <c r="B7">
        <v>20.454828280872963</v>
      </c>
    </row>
    <row r="8" spans="1:2" x14ac:dyDescent="0.25">
      <c r="A8" t="s">
        <v>57</v>
      </c>
      <c r="B8">
        <v>418.40000000000043</v>
      </c>
    </row>
    <row r="9" spans="1:2" x14ac:dyDescent="0.25">
      <c r="A9" t="s">
        <v>58</v>
      </c>
      <c r="B9">
        <v>-0.70798899560200956</v>
      </c>
    </row>
    <row r="10" spans="1:2" x14ac:dyDescent="0.25">
      <c r="A10" t="s">
        <v>59</v>
      </c>
      <c r="B10">
        <v>0.67079588528451006</v>
      </c>
    </row>
    <row r="11" spans="1:2" x14ac:dyDescent="0.25">
      <c r="A11" t="s">
        <v>60</v>
      </c>
      <c r="B11">
        <v>65</v>
      </c>
    </row>
    <row r="12" spans="1:2" x14ac:dyDescent="0.25">
      <c r="A12" t="s">
        <v>61</v>
      </c>
      <c r="B12">
        <v>95</v>
      </c>
    </row>
    <row r="13" spans="1:2" x14ac:dyDescent="0.25">
      <c r="A13" t="s">
        <v>62</v>
      </c>
      <c r="B13">
        <v>160</v>
      </c>
    </row>
    <row r="14" spans="1:2" x14ac:dyDescent="0.25">
      <c r="A14" t="s">
        <v>63</v>
      </c>
      <c r="B14">
        <v>1806</v>
      </c>
    </row>
    <row r="15" spans="1:2" x14ac:dyDescent="0.25">
      <c r="A15" t="s">
        <v>64</v>
      </c>
      <c r="B15">
        <v>15</v>
      </c>
    </row>
    <row r="16" spans="1:2" x14ac:dyDescent="0.25">
      <c r="A16" t="s">
        <v>65</v>
      </c>
      <c r="B16">
        <v>160</v>
      </c>
    </row>
    <row r="17" spans="1:2" x14ac:dyDescent="0.25">
      <c r="A17" t="s">
        <v>66</v>
      </c>
      <c r="B17">
        <v>95</v>
      </c>
    </row>
    <row r="18" spans="1:2" ht="15.75" thickBot="1" x14ac:dyDescent="0.3">
      <c r="A18" s="3" t="s">
        <v>67</v>
      </c>
      <c r="B18" s="3">
        <v>11.327506337826485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29CC-F6B9-4A5B-A643-E83BF54AF22A}">
  <dimension ref="A1:G21"/>
  <sheetViews>
    <sheetView workbookViewId="0">
      <selection activeCell="I17" sqref="I17"/>
    </sheetView>
  </sheetViews>
  <sheetFormatPr defaultRowHeight="15" x14ac:dyDescent="0.25"/>
  <cols>
    <col min="1" max="1" width="14.42578125" customWidth="1"/>
    <col min="2" max="2" width="10.7109375" customWidth="1"/>
    <col min="4" max="4" width="13.28515625" customWidth="1"/>
    <col min="5" max="5" width="13.5703125" customWidth="1"/>
    <col min="6" max="6" width="10.28515625" customWidth="1"/>
    <col min="7" max="7" width="15.7109375" customWidth="1"/>
  </cols>
  <sheetData>
    <row r="1" spans="1:7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5">
      <c r="A2" s="2" t="s">
        <v>93</v>
      </c>
      <c r="B2" s="2">
        <v>14</v>
      </c>
      <c r="C2" s="2">
        <v>620</v>
      </c>
      <c r="D2" s="2">
        <v>430</v>
      </c>
      <c r="E2" s="2">
        <v>144.19</v>
      </c>
      <c r="F2" s="2">
        <v>0</v>
      </c>
      <c r="G2" s="2">
        <v>51.67</v>
      </c>
    </row>
    <row r="3" spans="1:7" x14ac:dyDescent="0.25">
      <c r="A3" s="2" t="s">
        <v>94</v>
      </c>
      <c r="B3" s="2">
        <v>14</v>
      </c>
      <c r="C3" s="2">
        <v>480</v>
      </c>
      <c r="D3" s="2">
        <v>350</v>
      </c>
      <c r="E3" s="2">
        <v>137.13999999999999</v>
      </c>
      <c r="F3" s="2">
        <v>0</v>
      </c>
      <c r="G3" s="2">
        <v>40</v>
      </c>
    </row>
    <row r="4" spans="1:7" x14ac:dyDescent="0.25">
      <c r="A4" s="2" t="s">
        <v>95</v>
      </c>
      <c r="B4" s="2">
        <v>12</v>
      </c>
      <c r="C4" s="2">
        <v>310</v>
      </c>
      <c r="D4" s="2">
        <v>190</v>
      </c>
      <c r="E4" s="2">
        <v>163.16</v>
      </c>
      <c r="F4" s="2">
        <v>0</v>
      </c>
      <c r="G4" s="2">
        <v>38.75</v>
      </c>
    </row>
    <row r="5" spans="1:7" x14ac:dyDescent="0.25">
      <c r="A5" s="2" t="s">
        <v>96</v>
      </c>
      <c r="B5" s="2">
        <v>14</v>
      </c>
      <c r="C5" s="2">
        <v>670</v>
      </c>
      <c r="D5" s="2">
        <v>450</v>
      </c>
      <c r="E5" s="2">
        <v>148.88999999999999</v>
      </c>
      <c r="F5" s="2">
        <v>0</v>
      </c>
      <c r="G5" s="2">
        <v>55.83</v>
      </c>
    </row>
    <row r="6" spans="1:7" x14ac:dyDescent="0.25">
      <c r="A6" s="2" t="s">
        <v>97</v>
      </c>
      <c r="B6" s="2">
        <v>13</v>
      </c>
      <c r="C6" s="2">
        <v>540</v>
      </c>
      <c r="D6" s="2">
        <v>320</v>
      </c>
      <c r="E6" s="2">
        <v>168.75</v>
      </c>
      <c r="F6" s="2">
        <v>0</v>
      </c>
      <c r="G6" s="2">
        <v>45</v>
      </c>
    </row>
    <row r="7" spans="1:7" x14ac:dyDescent="0.25">
      <c r="A7" s="2" t="s">
        <v>98</v>
      </c>
      <c r="B7" s="2">
        <v>12</v>
      </c>
      <c r="C7" s="2">
        <v>350</v>
      </c>
      <c r="D7" s="2">
        <v>240</v>
      </c>
      <c r="E7" s="2">
        <v>145.83000000000001</v>
      </c>
      <c r="F7" s="2">
        <v>8</v>
      </c>
      <c r="G7" s="2">
        <v>31.82</v>
      </c>
    </row>
    <row r="8" spans="1:7" x14ac:dyDescent="0.25">
      <c r="A8" s="2" t="s">
        <v>99</v>
      </c>
      <c r="B8" s="2">
        <v>14</v>
      </c>
      <c r="C8" s="2">
        <v>290</v>
      </c>
      <c r="D8" s="2">
        <v>210</v>
      </c>
      <c r="E8" s="2">
        <v>138.1</v>
      </c>
      <c r="F8" s="2">
        <v>16</v>
      </c>
      <c r="G8" s="2">
        <v>26.36</v>
      </c>
    </row>
    <row r="9" spans="1:7" x14ac:dyDescent="0.25">
      <c r="A9" s="2" t="s">
        <v>100</v>
      </c>
      <c r="B9" s="2">
        <v>14</v>
      </c>
      <c r="C9" s="2">
        <v>60</v>
      </c>
      <c r="D9" s="2">
        <v>30</v>
      </c>
      <c r="E9" s="2">
        <v>83.33</v>
      </c>
      <c r="F9" s="2">
        <v>22</v>
      </c>
      <c r="G9" s="2">
        <v>5</v>
      </c>
    </row>
    <row r="10" spans="1:7" x14ac:dyDescent="0.25">
      <c r="A10" s="2" t="s">
        <v>101</v>
      </c>
      <c r="B10" s="2">
        <v>13</v>
      </c>
      <c r="C10" s="2">
        <v>40</v>
      </c>
      <c r="D10" s="2">
        <v>35</v>
      </c>
      <c r="E10" s="2">
        <v>114.29</v>
      </c>
      <c r="F10" s="2">
        <v>18</v>
      </c>
      <c r="G10" s="2">
        <v>6.67</v>
      </c>
    </row>
    <row r="11" spans="1:7" x14ac:dyDescent="0.25">
      <c r="A11" s="2" t="s">
        <v>102</v>
      </c>
      <c r="B11" s="2">
        <v>14</v>
      </c>
      <c r="C11" s="2">
        <v>180</v>
      </c>
      <c r="D11" s="2">
        <v>110</v>
      </c>
      <c r="E11" s="2">
        <v>163.63999999999999</v>
      </c>
      <c r="F11" s="2">
        <v>20</v>
      </c>
      <c r="G11" s="2">
        <v>18</v>
      </c>
    </row>
    <row r="12" spans="1:7" x14ac:dyDescent="0.25">
      <c r="A12" s="2" t="s">
        <v>103</v>
      </c>
      <c r="B12" s="2">
        <v>13</v>
      </c>
      <c r="C12" s="2">
        <v>510</v>
      </c>
      <c r="D12" s="2">
        <v>300</v>
      </c>
      <c r="E12" s="2">
        <v>170</v>
      </c>
      <c r="F12" s="2">
        <v>0</v>
      </c>
      <c r="G12" s="2">
        <v>46.36</v>
      </c>
    </row>
    <row r="13" spans="1:7" x14ac:dyDescent="0.25">
      <c r="A13" s="2" t="s">
        <v>104</v>
      </c>
      <c r="B13" s="2">
        <v>14</v>
      </c>
      <c r="C13" s="2">
        <v>590</v>
      </c>
      <c r="D13" s="2">
        <v>410</v>
      </c>
      <c r="E13" s="2">
        <v>143.9</v>
      </c>
      <c r="F13" s="2">
        <v>0</v>
      </c>
      <c r="G13" s="2">
        <v>49.17</v>
      </c>
    </row>
    <row r="14" spans="1:7" x14ac:dyDescent="0.25">
      <c r="A14" s="2" t="s">
        <v>105</v>
      </c>
      <c r="B14" s="2">
        <v>12</v>
      </c>
      <c r="C14" s="2">
        <v>430</v>
      </c>
      <c r="D14" s="2">
        <v>340</v>
      </c>
      <c r="E14" s="2">
        <v>126.47</v>
      </c>
      <c r="F14" s="2">
        <v>0</v>
      </c>
      <c r="G14" s="2">
        <v>39.090000000000003</v>
      </c>
    </row>
    <row r="15" spans="1:7" x14ac:dyDescent="0.25">
      <c r="A15" s="2" t="s">
        <v>106</v>
      </c>
      <c r="B15" s="2">
        <v>11</v>
      </c>
      <c r="C15" s="2">
        <v>320</v>
      </c>
      <c r="D15" s="2">
        <v>200</v>
      </c>
      <c r="E15" s="2">
        <v>160</v>
      </c>
      <c r="F15" s="2">
        <v>6</v>
      </c>
      <c r="G15" s="2">
        <v>29.09</v>
      </c>
    </row>
    <row r="16" spans="1:7" x14ac:dyDescent="0.25">
      <c r="A16" s="2" t="s">
        <v>107</v>
      </c>
      <c r="B16" s="2">
        <v>13</v>
      </c>
      <c r="C16" s="2">
        <v>60</v>
      </c>
      <c r="D16" s="2">
        <v>50</v>
      </c>
      <c r="E16" s="2">
        <v>120</v>
      </c>
      <c r="F16" s="2">
        <v>19</v>
      </c>
      <c r="G16" s="2">
        <v>8.57</v>
      </c>
    </row>
    <row r="18" spans="3:5" x14ac:dyDescent="0.25">
      <c r="C18">
        <f>MEDIAN(Table3[Runs])</f>
        <v>350</v>
      </c>
      <c r="E18">
        <f>_xlfn.VAR.P(Table3[Runs])</f>
        <v>40968.888888888891</v>
      </c>
    </row>
    <row r="19" spans="3:5" x14ac:dyDescent="0.25">
      <c r="D19">
        <f>AVERAGE(Table3[Runs])</f>
        <v>363.33333333333331</v>
      </c>
    </row>
    <row r="20" spans="3:5" x14ac:dyDescent="0.25">
      <c r="C20">
        <f>_xlfn.STDEV.P(Table3[Runs])</f>
        <v>202.40772932101405</v>
      </c>
    </row>
    <row r="21" spans="3:5" x14ac:dyDescent="0.25">
      <c r="E21">
        <f>MODE(Table3[Runs])</f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1174-A7A0-4A39-B22D-A8B89F08AACA}">
  <dimension ref="A1:I39"/>
  <sheetViews>
    <sheetView workbookViewId="0">
      <selection activeCell="N14" sqref="N14"/>
    </sheetView>
  </sheetViews>
  <sheetFormatPr defaultRowHeight="15" x14ac:dyDescent="0.25"/>
  <sheetData>
    <row r="1" spans="1:9" x14ac:dyDescent="0.25">
      <c r="A1" t="s">
        <v>26</v>
      </c>
    </row>
    <row r="2" spans="1:9" ht="15.75" thickBot="1" x14ac:dyDescent="0.3"/>
    <row r="3" spans="1:9" x14ac:dyDescent="0.25">
      <c r="A3" s="5" t="s">
        <v>27</v>
      </c>
      <c r="B3" s="5"/>
    </row>
    <row r="4" spans="1:9" x14ac:dyDescent="0.25">
      <c r="A4" t="s">
        <v>28</v>
      </c>
      <c r="B4">
        <v>0.99413721560199941</v>
      </c>
    </row>
    <row r="5" spans="1:9" x14ac:dyDescent="0.25">
      <c r="A5" t="s">
        <v>29</v>
      </c>
      <c r="B5">
        <v>0.98830880344489624</v>
      </c>
    </row>
    <row r="6" spans="1:9" x14ac:dyDescent="0.25">
      <c r="A6" t="s">
        <v>30</v>
      </c>
      <c r="B6">
        <v>0.98740948063296519</v>
      </c>
    </row>
    <row r="7" spans="1:9" x14ac:dyDescent="0.25">
      <c r="A7" t="s">
        <v>31</v>
      </c>
      <c r="B7">
        <v>2.2951848080639214</v>
      </c>
    </row>
    <row r="8" spans="1:9" ht="15.75" thickBot="1" x14ac:dyDescent="0.3">
      <c r="A8" s="3" t="s">
        <v>32</v>
      </c>
      <c r="B8" s="3">
        <v>15</v>
      </c>
    </row>
    <row r="10" spans="1:9" ht="15.7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t="s">
        <v>34</v>
      </c>
      <c r="B12">
        <v>1</v>
      </c>
      <c r="C12">
        <v>5789.1176470588234</v>
      </c>
      <c r="D12">
        <v>5789.1176470588234</v>
      </c>
      <c r="E12">
        <v>1098.9477752963408</v>
      </c>
      <c r="F12">
        <v>6.0244825094146737E-14</v>
      </c>
    </row>
    <row r="13" spans="1:9" x14ac:dyDescent="0.25">
      <c r="A13" t="s">
        <v>35</v>
      </c>
      <c r="B13">
        <v>13</v>
      </c>
      <c r="C13">
        <v>68.482352941176472</v>
      </c>
      <c r="D13">
        <v>5.2678733031674208</v>
      </c>
    </row>
    <row r="14" spans="1:9" ht="15.75" thickBot="1" x14ac:dyDescent="0.3">
      <c r="A14" s="3" t="s">
        <v>36</v>
      </c>
      <c r="B14" s="3">
        <v>14</v>
      </c>
      <c r="C14" s="3">
        <v>5857.5999999999995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t="s">
        <v>37</v>
      </c>
      <c r="B17">
        <v>-98.776470588235242</v>
      </c>
      <c r="C17">
        <v>6.6380878878254208</v>
      </c>
      <c r="D17">
        <v>-14.880259535188761</v>
      </c>
      <c r="E17">
        <v>1.5239427861019614E-9</v>
      </c>
      <c r="F17">
        <v>-113.11718759993859</v>
      </c>
      <c r="G17">
        <v>-84.435753576531894</v>
      </c>
      <c r="H17">
        <v>-113.11718759993859</v>
      </c>
      <c r="I17">
        <v>-84.435753576531894</v>
      </c>
    </row>
    <row r="18" spans="1:9" ht="15.75" thickBot="1" x14ac:dyDescent="0.3">
      <c r="A18" s="3" t="s">
        <v>50</v>
      </c>
      <c r="B18" s="3">
        <v>7.1470588235294104</v>
      </c>
      <c r="C18" s="3">
        <v>0.21559507190088517</v>
      </c>
      <c r="D18" s="3">
        <v>33.150381223997108</v>
      </c>
      <c r="E18" s="3">
        <v>6.0244825094147166E-14</v>
      </c>
      <c r="F18" s="3">
        <v>6.681293987706896</v>
      </c>
      <c r="G18" s="3">
        <v>7.6128236593519247</v>
      </c>
      <c r="H18" s="3">
        <v>6.681293987706896</v>
      </c>
      <c r="I18" s="3">
        <v>7.6128236593519247</v>
      </c>
    </row>
    <row r="22" spans="1:9" x14ac:dyDescent="0.25">
      <c r="A22" t="s">
        <v>51</v>
      </c>
    </row>
    <row r="23" spans="1:9" ht="15.75" thickBot="1" x14ac:dyDescent="0.3"/>
    <row r="24" spans="1:9" x14ac:dyDescent="0.25">
      <c r="A24" s="4" t="s">
        <v>52</v>
      </c>
      <c r="B24" s="4" t="s">
        <v>53</v>
      </c>
      <c r="C24" s="4" t="s">
        <v>54</v>
      </c>
    </row>
    <row r="25" spans="1:9" x14ac:dyDescent="0.25">
      <c r="A25">
        <v>1</v>
      </c>
      <c r="B25">
        <v>94.194117647058846</v>
      </c>
      <c r="C25">
        <v>0.80588235294115407</v>
      </c>
    </row>
    <row r="26" spans="1:9" x14ac:dyDescent="0.25">
      <c r="A26">
        <v>2</v>
      </c>
      <c r="B26">
        <v>101.34117647058824</v>
      </c>
      <c r="C26">
        <v>0.65882352941176237</v>
      </c>
    </row>
    <row r="27" spans="1:9" x14ac:dyDescent="0.25">
      <c r="A27">
        <v>3</v>
      </c>
      <c r="B27">
        <v>108.48823529411766</v>
      </c>
      <c r="C27">
        <v>-0.48823529411765776</v>
      </c>
    </row>
    <row r="28" spans="1:9" x14ac:dyDescent="0.25">
      <c r="A28">
        <v>4</v>
      </c>
      <c r="B28">
        <v>115.63529411764708</v>
      </c>
      <c r="C28">
        <v>-0.63529411764707788</v>
      </c>
    </row>
    <row r="29" spans="1:9" x14ac:dyDescent="0.25">
      <c r="A29">
        <v>5</v>
      </c>
      <c r="B29">
        <v>122.78235294117647</v>
      </c>
      <c r="C29">
        <v>0.21764705882353041</v>
      </c>
    </row>
    <row r="30" spans="1:9" x14ac:dyDescent="0.25">
      <c r="A30">
        <v>6</v>
      </c>
      <c r="B30">
        <v>129.92941176470589</v>
      </c>
      <c r="C30">
        <v>7.0588235294110291E-2</v>
      </c>
    </row>
    <row r="31" spans="1:9" x14ac:dyDescent="0.25">
      <c r="A31">
        <v>7</v>
      </c>
      <c r="B31">
        <v>137.07647058823531</v>
      </c>
      <c r="C31">
        <v>0.92352941176469017</v>
      </c>
    </row>
    <row r="32" spans="1:9" x14ac:dyDescent="0.25">
      <c r="A32">
        <v>8</v>
      </c>
      <c r="B32">
        <v>144.2235294117647</v>
      </c>
      <c r="C32">
        <v>0.77647058823529846</v>
      </c>
    </row>
    <row r="33" spans="1:3" x14ac:dyDescent="0.25">
      <c r="A33">
        <v>9</v>
      </c>
      <c r="B33">
        <v>151.37058823529412</v>
      </c>
      <c r="C33">
        <v>0.62941176470587834</v>
      </c>
    </row>
    <row r="34" spans="1:3" x14ac:dyDescent="0.25">
      <c r="A34">
        <v>10</v>
      </c>
      <c r="B34">
        <v>158.51764705882354</v>
      </c>
      <c r="C34">
        <v>1.4823529411764582</v>
      </c>
    </row>
    <row r="35" spans="1:3" x14ac:dyDescent="0.25">
      <c r="A35">
        <v>11</v>
      </c>
      <c r="B35">
        <v>122.78235294117647</v>
      </c>
      <c r="C35">
        <v>-2.7823529411764696</v>
      </c>
    </row>
    <row r="36" spans="1:3" x14ac:dyDescent="0.25">
      <c r="A36">
        <v>12</v>
      </c>
      <c r="B36">
        <v>115.63529411764708</v>
      </c>
      <c r="C36">
        <v>-3.6352941176470779</v>
      </c>
    </row>
    <row r="37" spans="1:3" x14ac:dyDescent="0.25">
      <c r="A37">
        <v>13</v>
      </c>
      <c r="B37">
        <v>108.48823529411766</v>
      </c>
      <c r="C37">
        <v>-2.4882352941176578</v>
      </c>
    </row>
    <row r="38" spans="1:3" x14ac:dyDescent="0.25">
      <c r="A38">
        <v>14</v>
      </c>
      <c r="B38">
        <v>101.34117647058824</v>
      </c>
      <c r="C38">
        <v>-1.3411764705882376</v>
      </c>
    </row>
    <row r="39" spans="1:3" ht="15.75" thickBot="1" x14ac:dyDescent="0.3">
      <c r="A39" s="3">
        <v>15</v>
      </c>
      <c r="B39" s="3">
        <v>94.194117647058846</v>
      </c>
      <c r="C39" s="3">
        <v>5.8058823529411541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5FB1-0971-4F04-B709-66E73C9E7812}">
  <dimension ref="A1:G22"/>
  <sheetViews>
    <sheetView workbookViewId="0">
      <selection activeCell="B2" sqref="B2:B16"/>
    </sheetView>
  </sheetViews>
  <sheetFormatPr defaultRowHeight="15" x14ac:dyDescent="0.25"/>
  <cols>
    <col min="1" max="1" width="10.42578125" bestFit="1" customWidth="1"/>
    <col min="2" max="2" width="15.140625" customWidth="1"/>
    <col min="3" max="3" width="11.7109375" customWidth="1"/>
  </cols>
  <sheetData>
    <row r="1" spans="1:6" x14ac:dyDescent="0.25">
      <c r="A1" s="1" t="s">
        <v>108</v>
      </c>
      <c r="B1" s="1" t="s">
        <v>112</v>
      </c>
      <c r="C1" s="1" t="s">
        <v>113</v>
      </c>
      <c r="D1" s="1" t="s">
        <v>109</v>
      </c>
      <c r="E1" s="1" t="s">
        <v>110</v>
      </c>
      <c r="F1" s="1" t="s">
        <v>111</v>
      </c>
    </row>
    <row r="2" spans="1:6" x14ac:dyDescent="0.25">
      <c r="A2" s="6">
        <v>46054</v>
      </c>
      <c r="B2" s="2">
        <v>27</v>
      </c>
      <c r="C2" s="2">
        <v>54</v>
      </c>
      <c r="D2" s="2">
        <v>95</v>
      </c>
      <c r="E2" s="2">
        <v>40</v>
      </c>
      <c r="F2" s="2">
        <v>70</v>
      </c>
    </row>
    <row r="3" spans="1:6" x14ac:dyDescent="0.25">
      <c r="A3" s="6">
        <v>46055</v>
      </c>
      <c r="B3" s="2">
        <v>28</v>
      </c>
      <c r="C3" s="2">
        <v>56</v>
      </c>
      <c r="D3" s="2">
        <v>102</v>
      </c>
      <c r="E3" s="2">
        <v>44</v>
      </c>
      <c r="F3" s="2">
        <v>76</v>
      </c>
    </row>
    <row r="4" spans="1:6" x14ac:dyDescent="0.25">
      <c r="A4" s="6">
        <v>46056</v>
      </c>
      <c r="B4" s="2">
        <v>29</v>
      </c>
      <c r="C4" s="2">
        <v>58</v>
      </c>
      <c r="D4" s="2">
        <v>108</v>
      </c>
      <c r="E4" s="2">
        <v>49</v>
      </c>
      <c r="F4" s="2">
        <v>82</v>
      </c>
    </row>
    <row r="5" spans="1:6" x14ac:dyDescent="0.25">
      <c r="A5" s="6">
        <v>46057</v>
      </c>
      <c r="B5" s="2">
        <v>30</v>
      </c>
      <c r="C5" s="2">
        <v>60</v>
      </c>
      <c r="D5" s="2">
        <v>115</v>
      </c>
      <c r="E5" s="2">
        <v>53</v>
      </c>
      <c r="F5" s="2">
        <v>88</v>
      </c>
    </row>
    <row r="6" spans="1:6" x14ac:dyDescent="0.25">
      <c r="A6" s="6">
        <v>46058</v>
      </c>
      <c r="B6" s="2">
        <v>31</v>
      </c>
      <c r="C6" s="2">
        <v>63</v>
      </c>
      <c r="D6" s="2">
        <v>123</v>
      </c>
      <c r="E6" s="2">
        <v>57</v>
      </c>
      <c r="F6" s="2">
        <v>94</v>
      </c>
    </row>
    <row r="7" spans="1:6" x14ac:dyDescent="0.25">
      <c r="A7" s="6">
        <v>46059</v>
      </c>
      <c r="B7" s="2">
        <v>32</v>
      </c>
      <c r="C7" s="2">
        <v>65</v>
      </c>
      <c r="D7" s="2">
        <v>130</v>
      </c>
      <c r="E7" s="2">
        <v>61</v>
      </c>
      <c r="F7" s="2">
        <v>99</v>
      </c>
    </row>
    <row r="8" spans="1:6" x14ac:dyDescent="0.25">
      <c r="A8" s="6">
        <v>46060</v>
      </c>
      <c r="B8" s="2">
        <v>33</v>
      </c>
      <c r="C8" s="2">
        <v>67</v>
      </c>
      <c r="D8" s="2">
        <v>138</v>
      </c>
      <c r="E8" s="2">
        <v>66</v>
      </c>
      <c r="F8" s="2">
        <v>105</v>
      </c>
    </row>
    <row r="9" spans="1:6" x14ac:dyDescent="0.25">
      <c r="A9" s="6">
        <v>46061</v>
      </c>
      <c r="B9" s="2">
        <v>34</v>
      </c>
      <c r="C9" s="2">
        <v>69</v>
      </c>
      <c r="D9" s="2">
        <v>145</v>
      </c>
      <c r="E9" s="2">
        <v>70</v>
      </c>
      <c r="F9" s="2">
        <v>111</v>
      </c>
    </row>
    <row r="10" spans="1:6" x14ac:dyDescent="0.25">
      <c r="A10" s="6">
        <v>46062</v>
      </c>
      <c r="B10" s="2">
        <v>35</v>
      </c>
      <c r="C10" s="2">
        <v>72</v>
      </c>
      <c r="D10" s="2">
        <v>152</v>
      </c>
      <c r="E10" s="2">
        <v>75</v>
      </c>
      <c r="F10" s="2">
        <v>118</v>
      </c>
    </row>
    <row r="11" spans="1:6" x14ac:dyDescent="0.25">
      <c r="A11" s="6">
        <v>46063</v>
      </c>
      <c r="B11" s="2">
        <v>36</v>
      </c>
      <c r="C11" s="2">
        <v>74</v>
      </c>
      <c r="D11" s="2">
        <v>160</v>
      </c>
      <c r="E11" s="2">
        <v>80</v>
      </c>
      <c r="F11" s="2">
        <v>124</v>
      </c>
    </row>
    <row r="12" spans="1:6" x14ac:dyDescent="0.25">
      <c r="A12" s="6">
        <v>46064</v>
      </c>
      <c r="B12" s="2">
        <v>31</v>
      </c>
      <c r="C12" s="2">
        <v>62</v>
      </c>
      <c r="D12" s="2">
        <v>120</v>
      </c>
      <c r="E12" s="2">
        <v>55</v>
      </c>
      <c r="F12" s="2">
        <v>91</v>
      </c>
    </row>
    <row r="13" spans="1:6" x14ac:dyDescent="0.25">
      <c r="A13" s="6">
        <v>46065</v>
      </c>
      <c r="B13" s="2">
        <v>30</v>
      </c>
      <c r="C13" s="2">
        <v>59</v>
      </c>
      <c r="D13" s="2">
        <v>112</v>
      </c>
      <c r="E13" s="2">
        <v>50</v>
      </c>
      <c r="F13" s="2">
        <v>85</v>
      </c>
    </row>
    <row r="14" spans="1:6" x14ac:dyDescent="0.25">
      <c r="A14" s="6">
        <v>46066</v>
      </c>
      <c r="B14" s="2">
        <v>29</v>
      </c>
      <c r="C14" s="2">
        <v>57</v>
      </c>
      <c r="D14" s="2">
        <v>106</v>
      </c>
      <c r="E14" s="2">
        <v>47</v>
      </c>
      <c r="F14" s="2">
        <v>80</v>
      </c>
    </row>
    <row r="15" spans="1:6" x14ac:dyDescent="0.25">
      <c r="A15" s="6">
        <v>46067</v>
      </c>
      <c r="B15" s="2">
        <v>28</v>
      </c>
      <c r="C15" s="2">
        <v>55</v>
      </c>
      <c r="D15" s="2">
        <v>100</v>
      </c>
      <c r="E15" s="2">
        <v>43</v>
      </c>
      <c r="F15" s="2">
        <v>74</v>
      </c>
    </row>
    <row r="16" spans="1:6" x14ac:dyDescent="0.25">
      <c r="A16" s="6">
        <v>46068</v>
      </c>
      <c r="B16" s="2">
        <v>27</v>
      </c>
      <c r="C16" s="2">
        <v>53</v>
      </c>
      <c r="D16" s="2">
        <v>100</v>
      </c>
      <c r="E16" s="2">
        <v>39</v>
      </c>
      <c r="F16" s="2">
        <v>68</v>
      </c>
    </row>
    <row r="18" spans="3:7" x14ac:dyDescent="0.25">
      <c r="C18">
        <f>AVERAGE(Table4[AQI])</f>
        <v>120.4</v>
      </c>
    </row>
    <row r="19" spans="3:7" x14ac:dyDescent="0.25">
      <c r="G19">
        <f>_xlfn.VAR.P(Table4[AQI])</f>
        <v>390.50666666666666</v>
      </c>
    </row>
    <row r="20" spans="3:7" x14ac:dyDescent="0.25">
      <c r="C20">
        <f>MEDIAN(Table4[AQI])</f>
        <v>115</v>
      </c>
      <c r="E20">
        <f>_xlfn.STDEV.P(Table4[AQI])</f>
        <v>19.761241526449361</v>
      </c>
    </row>
    <row r="21" spans="3:7" x14ac:dyDescent="0.25">
      <c r="F21">
        <f>MAX(Table4[AQI])-MIN(Table4[AQI])</f>
        <v>65</v>
      </c>
    </row>
    <row r="22" spans="3:7" x14ac:dyDescent="0.25">
      <c r="C22">
        <f>_xlfn.MODE.SNGL(D2:D16)</f>
        <v>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464F-5DE5-450E-A76D-65CD5F7CDB1B}">
  <dimension ref="A1:I39"/>
  <sheetViews>
    <sheetView workbookViewId="0">
      <selection sqref="A1:I39"/>
    </sheetView>
  </sheetViews>
  <sheetFormatPr defaultRowHeight="15" x14ac:dyDescent="0.25"/>
  <sheetData>
    <row r="1" spans="1:9" x14ac:dyDescent="0.25">
      <c r="A1" t="s">
        <v>26</v>
      </c>
    </row>
    <row r="2" spans="1:9" ht="15.75" thickBot="1" x14ac:dyDescent="0.3"/>
    <row r="3" spans="1:9" x14ac:dyDescent="0.25">
      <c r="A3" s="5" t="s">
        <v>27</v>
      </c>
      <c r="B3" s="5"/>
    </row>
    <row r="4" spans="1:9" x14ac:dyDescent="0.25">
      <c r="A4" t="s">
        <v>28</v>
      </c>
      <c r="B4">
        <v>0.34641016151377535</v>
      </c>
    </row>
    <row r="5" spans="1:9" x14ac:dyDescent="0.25">
      <c r="A5" t="s">
        <v>29</v>
      </c>
      <c r="B5">
        <v>0.11999999999999993</v>
      </c>
    </row>
    <row r="6" spans="1:9" x14ac:dyDescent="0.25">
      <c r="A6" t="s">
        <v>30</v>
      </c>
      <c r="B6">
        <v>5.2307692307692236E-2</v>
      </c>
    </row>
    <row r="7" spans="1:9" x14ac:dyDescent="0.25">
      <c r="A7" t="s">
        <v>31</v>
      </c>
      <c r="B7">
        <v>1.6455067024148846</v>
      </c>
    </row>
    <row r="8" spans="1:9" ht="15.75" thickBot="1" x14ac:dyDescent="0.3">
      <c r="A8" s="3" t="s">
        <v>32</v>
      </c>
      <c r="B8" s="3">
        <v>15</v>
      </c>
    </row>
    <row r="10" spans="1:9" ht="15.7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t="s">
        <v>34</v>
      </c>
      <c r="B12">
        <v>1</v>
      </c>
      <c r="C12">
        <v>4.7999999999999972</v>
      </c>
      <c r="D12">
        <v>4.7999999999999972</v>
      </c>
      <c r="E12">
        <v>1.7727272727272716</v>
      </c>
      <c r="F12">
        <v>0.20592171128222508</v>
      </c>
    </row>
    <row r="13" spans="1:9" x14ac:dyDescent="0.25">
      <c r="A13" t="s">
        <v>35</v>
      </c>
      <c r="B13">
        <v>13</v>
      </c>
      <c r="C13">
        <v>35.200000000000003</v>
      </c>
      <c r="D13">
        <v>2.7076923076923078</v>
      </c>
    </row>
    <row r="14" spans="1:9" ht="15.75" thickBot="1" x14ac:dyDescent="0.3">
      <c r="A14" s="3" t="s">
        <v>36</v>
      </c>
      <c r="B14" s="3">
        <v>14</v>
      </c>
      <c r="C14" s="3">
        <v>40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t="s">
        <v>37</v>
      </c>
      <c r="B17">
        <v>-0.99999999999999911</v>
      </c>
      <c r="C17">
        <v>6.0235435520196008</v>
      </c>
      <c r="D17">
        <v>-0.16601523527869483</v>
      </c>
      <c r="E17">
        <v>0.87069909019914782</v>
      </c>
      <c r="F17">
        <v>-14.013074690621703</v>
      </c>
      <c r="G17">
        <v>12.013074690621703</v>
      </c>
      <c r="H17">
        <v>-14.013074690621703</v>
      </c>
      <c r="I17">
        <v>12.013074690621703</v>
      </c>
    </row>
    <row r="18" spans="1:9" ht="15.75" thickBot="1" x14ac:dyDescent="0.3">
      <c r="A18" s="3" t="s">
        <v>50</v>
      </c>
      <c r="B18" s="3">
        <v>0.39999999999999997</v>
      </c>
      <c r="C18" s="3">
        <v>0.30042704647952428</v>
      </c>
      <c r="D18" s="3">
        <v>1.3314380468978917</v>
      </c>
      <c r="E18" s="3">
        <v>0.20592171128222519</v>
      </c>
      <c r="F18" s="3">
        <v>-0.24903317476805492</v>
      </c>
      <c r="G18" s="3">
        <v>1.0490331747680548</v>
      </c>
      <c r="H18" s="3">
        <v>-0.24903317476805492</v>
      </c>
      <c r="I18" s="3">
        <v>1.0490331747680548</v>
      </c>
    </row>
    <row r="22" spans="1:9" x14ac:dyDescent="0.25">
      <c r="A22" t="s">
        <v>51</v>
      </c>
    </row>
    <row r="23" spans="1:9" ht="15.75" thickBot="1" x14ac:dyDescent="0.3"/>
    <row r="24" spans="1:9" x14ac:dyDescent="0.25">
      <c r="A24" s="4" t="s">
        <v>52</v>
      </c>
      <c r="B24" s="4" t="s">
        <v>53</v>
      </c>
      <c r="C24" s="4" t="s">
        <v>54</v>
      </c>
    </row>
    <row r="25" spans="1:9" x14ac:dyDescent="0.25">
      <c r="A25">
        <v>1</v>
      </c>
      <c r="B25">
        <v>6.2</v>
      </c>
      <c r="C25">
        <v>-0.20000000000000018</v>
      </c>
    </row>
    <row r="26" spans="1:9" x14ac:dyDescent="0.25">
      <c r="A26">
        <v>2</v>
      </c>
      <c r="B26">
        <v>6.6000000000000005</v>
      </c>
      <c r="C26">
        <v>0.39999999999999947</v>
      </c>
    </row>
    <row r="27" spans="1:9" x14ac:dyDescent="0.25">
      <c r="A27">
        <v>3</v>
      </c>
      <c r="B27">
        <v>7</v>
      </c>
      <c r="C27">
        <v>1</v>
      </c>
    </row>
    <row r="28" spans="1:9" x14ac:dyDescent="0.25">
      <c r="A28">
        <v>4</v>
      </c>
      <c r="B28">
        <v>7.3999999999999995</v>
      </c>
      <c r="C28">
        <v>-2.3999999999999995</v>
      </c>
    </row>
    <row r="29" spans="1:9" x14ac:dyDescent="0.25">
      <c r="A29">
        <v>5</v>
      </c>
      <c r="B29">
        <v>7.8</v>
      </c>
      <c r="C29">
        <v>1.2000000000000002</v>
      </c>
    </row>
    <row r="30" spans="1:9" x14ac:dyDescent="0.25">
      <c r="A30">
        <v>6</v>
      </c>
      <c r="B30">
        <v>6.2</v>
      </c>
      <c r="C30">
        <v>-0.20000000000000018</v>
      </c>
    </row>
    <row r="31" spans="1:9" x14ac:dyDescent="0.25">
      <c r="A31">
        <v>7</v>
      </c>
      <c r="B31">
        <v>6.6000000000000005</v>
      </c>
      <c r="C31">
        <v>0.39999999999999947</v>
      </c>
    </row>
    <row r="32" spans="1:9" x14ac:dyDescent="0.25">
      <c r="A32">
        <v>8</v>
      </c>
      <c r="B32">
        <v>7</v>
      </c>
      <c r="C32">
        <v>3</v>
      </c>
    </row>
    <row r="33" spans="1:3" x14ac:dyDescent="0.25">
      <c r="A33">
        <v>9</v>
      </c>
      <c r="B33">
        <v>7.3999999999999995</v>
      </c>
      <c r="C33">
        <v>-3.3999999999999995</v>
      </c>
    </row>
    <row r="34" spans="1:3" x14ac:dyDescent="0.25">
      <c r="A34">
        <v>10</v>
      </c>
      <c r="B34">
        <v>7.8</v>
      </c>
      <c r="C34">
        <v>0.20000000000000018</v>
      </c>
    </row>
    <row r="35" spans="1:3" x14ac:dyDescent="0.25">
      <c r="A35">
        <v>11</v>
      </c>
      <c r="B35">
        <v>6.2</v>
      </c>
      <c r="C35">
        <v>-1.2000000000000002</v>
      </c>
    </row>
    <row r="36" spans="1:3" x14ac:dyDescent="0.25">
      <c r="A36">
        <v>12</v>
      </c>
      <c r="B36">
        <v>6.6000000000000005</v>
      </c>
      <c r="C36">
        <v>-0.60000000000000053</v>
      </c>
    </row>
    <row r="37" spans="1:3" x14ac:dyDescent="0.25">
      <c r="A37">
        <v>13</v>
      </c>
      <c r="B37">
        <v>7</v>
      </c>
      <c r="C37">
        <v>2</v>
      </c>
    </row>
    <row r="38" spans="1:3" x14ac:dyDescent="0.25">
      <c r="A38">
        <v>14</v>
      </c>
      <c r="B38">
        <v>7.3999999999999995</v>
      </c>
      <c r="C38">
        <v>-0.39999999999999947</v>
      </c>
    </row>
    <row r="39" spans="1:3" ht="15.75" thickBot="1" x14ac:dyDescent="0.3">
      <c r="A39" s="3">
        <v>15</v>
      </c>
      <c r="B39" s="3">
        <v>7.8</v>
      </c>
      <c r="C39" s="3">
        <v>0.20000000000000018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74C0-D778-454B-82BC-245FBA416FC0}">
  <dimension ref="A1:B18"/>
  <sheetViews>
    <sheetView workbookViewId="0">
      <selection sqref="A1:B18"/>
    </sheetView>
  </sheetViews>
  <sheetFormatPr defaultRowHeight="15" x14ac:dyDescent="0.25"/>
  <sheetData>
    <row r="1" spans="1:2" x14ac:dyDescent="0.25">
      <c r="A1" s="5" t="s">
        <v>25</v>
      </c>
      <c r="B1" s="5"/>
    </row>
    <row r="3" spans="1:2" x14ac:dyDescent="0.25">
      <c r="A3" t="s">
        <v>21</v>
      </c>
      <c r="B3">
        <v>7</v>
      </c>
    </row>
    <row r="4" spans="1:2" x14ac:dyDescent="0.25">
      <c r="A4" t="s">
        <v>31</v>
      </c>
      <c r="B4">
        <v>0.43643578047198472</v>
      </c>
    </row>
    <row r="5" spans="1:2" x14ac:dyDescent="0.25">
      <c r="A5" t="s">
        <v>22</v>
      </c>
      <c r="B5">
        <v>7</v>
      </c>
    </row>
    <row r="6" spans="1:2" x14ac:dyDescent="0.25">
      <c r="A6" t="s">
        <v>55</v>
      </c>
      <c r="B6">
        <v>6</v>
      </c>
    </row>
    <row r="7" spans="1:2" x14ac:dyDescent="0.25">
      <c r="A7" t="s">
        <v>56</v>
      </c>
      <c r="B7">
        <v>1.6903085094570331</v>
      </c>
    </row>
    <row r="8" spans="1:2" x14ac:dyDescent="0.25">
      <c r="A8" t="s">
        <v>57</v>
      </c>
      <c r="B8">
        <v>2.8571428571428572</v>
      </c>
    </row>
    <row r="9" spans="1:2" x14ac:dyDescent="0.25">
      <c r="A9" t="s">
        <v>58</v>
      </c>
      <c r="B9">
        <v>-0.64615384615384608</v>
      </c>
    </row>
    <row r="10" spans="1:2" x14ac:dyDescent="0.25">
      <c r="A10" t="s">
        <v>59</v>
      </c>
      <c r="B10">
        <v>-2.9738116731030978E-17</v>
      </c>
    </row>
    <row r="11" spans="1:2" x14ac:dyDescent="0.25">
      <c r="A11" t="s">
        <v>60</v>
      </c>
      <c r="B11">
        <v>6</v>
      </c>
    </row>
    <row r="12" spans="1:2" x14ac:dyDescent="0.25">
      <c r="A12" t="s">
        <v>61</v>
      </c>
      <c r="B12">
        <v>4</v>
      </c>
    </row>
    <row r="13" spans="1:2" x14ac:dyDescent="0.25">
      <c r="A13" t="s">
        <v>62</v>
      </c>
      <c r="B13">
        <v>10</v>
      </c>
    </row>
    <row r="14" spans="1:2" x14ac:dyDescent="0.25">
      <c r="A14" t="s">
        <v>63</v>
      </c>
      <c r="B14">
        <v>105</v>
      </c>
    </row>
    <row r="15" spans="1:2" x14ac:dyDescent="0.25">
      <c r="A15" t="s">
        <v>64</v>
      </c>
      <c r="B15">
        <v>15</v>
      </c>
    </row>
    <row r="16" spans="1:2" x14ac:dyDescent="0.25">
      <c r="A16" t="s">
        <v>65</v>
      </c>
      <c r="B16">
        <v>10</v>
      </c>
    </row>
    <row r="17" spans="1:2" x14ac:dyDescent="0.25">
      <c r="A17" t="s">
        <v>66</v>
      </c>
      <c r="B17">
        <v>4</v>
      </c>
    </row>
    <row r="18" spans="1:2" ht="15.75" thickBot="1" x14ac:dyDescent="0.3">
      <c r="A18" s="3" t="s">
        <v>67</v>
      </c>
      <c r="B18" s="3">
        <v>0.93606165208732972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BE2D-A436-4AB0-9C58-8CBA86CEE47D}">
  <dimension ref="A1:G21"/>
  <sheetViews>
    <sheetView workbookViewId="0">
      <selection activeCell="L21" sqref="L21"/>
    </sheetView>
  </sheetViews>
  <sheetFormatPr defaultRowHeight="15" x14ac:dyDescent="0.25"/>
  <cols>
    <col min="1" max="1" width="11.5703125" customWidth="1"/>
    <col min="3" max="3" width="14.7109375" customWidth="1"/>
    <col min="4" max="4" width="18.28515625" customWidth="1"/>
    <col min="5" max="5" width="19.7109375" customWidth="1"/>
    <col min="6" max="6" width="13.7109375" customWidth="1"/>
    <col min="7" max="7" width="18.7109375" customWidth="1"/>
  </cols>
  <sheetData>
    <row r="1" spans="1:7" ht="30" x14ac:dyDescent="0.25">
      <c r="A1" s="1" t="s">
        <v>114</v>
      </c>
      <c r="B1" s="1" t="s">
        <v>115</v>
      </c>
      <c r="C1" s="1" t="s">
        <v>118</v>
      </c>
      <c r="D1" s="1" t="s">
        <v>119</v>
      </c>
      <c r="E1" s="1" t="s">
        <v>120</v>
      </c>
      <c r="F1" s="1" t="s">
        <v>116</v>
      </c>
      <c r="G1" s="1" t="s">
        <v>117</v>
      </c>
    </row>
    <row r="2" spans="1:7" x14ac:dyDescent="0.25">
      <c r="A2" s="2">
        <v>1</v>
      </c>
      <c r="B2" s="2">
        <v>18</v>
      </c>
      <c r="C2" s="2">
        <v>6</v>
      </c>
      <c r="D2" s="2">
        <v>3</v>
      </c>
      <c r="E2" s="2">
        <v>2</v>
      </c>
      <c r="F2" s="2">
        <v>7</v>
      </c>
      <c r="G2" s="2">
        <v>8</v>
      </c>
    </row>
    <row r="3" spans="1:7" x14ac:dyDescent="0.25">
      <c r="A3" s="2">
        <v>2</v>
      </c>
      <c r="B3" s="2">
        <v>19</v>
      </c>
      <c r="C3" s="2">
        <v>7</v>
      </c>
      <c r="D3" s="2">
        <v>4</v>
      </c>
      <c r="E3" s="2">
        <v>2</v>
      </c>
      <c r="F3" s="2">
        <v>6</v>
      </c>
      <c r="G3" s="2">
        <v>7</v>
      </c>
    </row>
    <row r="4" spans="1:7" x14ac:dyDescent="0.25">
      <c r="A4" s="2">
        <v>3</v>
      </c>
      <c r="B4" s="2">
        <v>20</v>
      </c>
      <c r="C4" s="2">
        <v>8</v>
      </c>
      <c r="D4" s="2">
        <v>5</v>
      </c>
      <c r="E4" s="2">
        <v>3</v>
      </c>
      <c r="F4" s="2">
        <v>6</v>
      </c>
      <c r="G4" s="2">
        <v>6</v>
      </c>
    </row>
    <row r="5" spans="1:7" x14ac:dyDescent="0.25">
      <c r="A5" s="2">
        <v>4</v>
      </c>
      <c r="B5" s="2">
        <v>21</v>
      </c>
      <c r="C5" s="2">
        <v>5</v>
      </c>
      <c r="D5" s="2">
        <v>2</v>
      </c>
      <c r="E5" s="2">
        <v>2</v>
      </c>
      <c r="F5" s="2">
        <v>8</v>
      </c>
      <c r="G5" s="2">
        <v>9</v>
      </c>
    </row>
    <row r="6" spans="1:7" x14ac:dyDescent="0.25">
      <c r="A6" s="2">
        <v>5</v>
      </c>
      <c r="B6" s="2">
        <v>22</v>
      </c>
      <c r="C6" s="2">
        <v>9</v>
      </c>
      <c r="D6" s="2">
        <v>6</v>
      </c>
      <c r="E6" s="2">
        <v>3</v>
      </c>
      <c r="F6" s="2">
        <v>5</v>
      </c>
      <c r="G6" s="2">
        <v>5</v>
      </c>
    </row>
    <row r="7" spans="1:7" x14ac:dyDescent="0.25">
      <c r="A7" s="2">
        <v>6</v>
      </c>
      <c r="B7" s="2">
        <v>18</v>
      </c>
      <c r="C7" s="2">
        <v>6</v>
      </c>
      <c r="D7" s="2">
        <v>3</v>
      </c>
      <c r="E7" s="2">
        <v>2</v>
      </c>
      <c r="F7" s="2">
        <v>7</v>
      </c>
      <c r="G7" s="2">
        <v>8</v>
      </c>
    </row>
    <row r="8" spans="1:7" x14ac:dyDescent="0.25">
      <c r="A8" s="2">
        <v>7</v>
      </c>
      <c r="B8" s="2">
        <v>19</v>
      </c>
      <c r="C8" s="2">
        <v>7</v>
      </c>
      <c r="D8" s="2">
        <v>4</v>
      </c>
      <c r="E8" s="2">
        <v>3</v>
      </c>
      <c r="F8" s="2">
        <v>6</v>
      </c>
      <c r="G8" s="2">
        <v>7</v>
      </c>
    </row>
    <row r="9" spans="1:7" x14ac:dyDescent="0.25">
      <c r="A9" s="2">
        <v>8</v>
      </c>
      <c r="B9" s="2">
        <v>20</v>
      </c>
      <c r="C9" s="2">
        <v>10</v>
      </c>
      <c r="D9" s="2">
        <v>7</v>
      </c>
      <c r="E9" s="2">
        <v>3</v>
      </c>
      <c r="F9" s="2">
        <v>5</v>
      </c>
      <c r="G9" s="2">
        <v>4</v>
      </c>
    </row>
    <row r="10" spans="1:7" x14ac:dyDescent="0.25">
      <c r="A10" s="2">
        <v>9</v>
      </c>
      <c r="B10" s="2">
        <v>21</v>
      </c>
      <c r="C10" s="2">
        <v>4</v>
      </c>
      <c r="D10" s="2">
        <v>2</v>
      </c>
      <c r="E10" s="2">
        <v>1</v>
      </c>
      <c r="F10" s="2">
        <v>8</v>
      </c>
      <c r="G10" s="2">
        <v>9</v>
      </c>
    </row>
    <row r="11" spans="1:7" x14ac:dyDescent="0.25">
      <c r="A11" s="2">
        <v>10</v>
      </c>
      <c r="B11" s="2">
        <v>22</v>
      </c>
      <c r="C11" s="2">
        <v>8</v>
      </c>
      <c r="D11" s="2">
        <v>5</v>
      </c>
      <c r="E11" s="2">
        <v>2</v>
      </c>
      <c r="F11" s="2">
        <v>6</v>
      </c>
      <c r="G11" s="2">
        <v>6</v>
      </c>
    </row>
    <row r="12" spans="1:7" x14ac:dyDescent="0.25">
      <c r="A12" s="2">
        <v>11</v>
      </c>
      <c r="B12" s="2">
        <v>18</v>
      </c>
      <c r="C12" s="2">
        <v>5</v>
      </c>
      <c r="D12" s="2">
        <v>2</v>
      </c>
      <c r="E12" s="2">
        <v>2</v>
      </c>
      <c r="F12" s="2">
        <v>7</v>
      </c>
      <c r="G12" s="2">
        <v>8</v>
      </c>
    </row>
    <row r="13" spans="1:7" x14ac:dyDescent="0.25">
      <c r="A13" s="2">
        <v>12</v>
      </c>
      <c r="B13" s="2">
        <v>19</v>
      </c>
      <c r="C13" s="2">
        <v>6</v>
      </c>
      <c r="D13" s="2">
        <v>3</v>
      </c>
      <c r="E13" s="2">
        <v>2</v>
      </c>
      <c r="F13" s="2">
        <v>7</v>
      </c>
      <c r="G13" s="2">
        <v>7</v>
      </c>
    </row>
    <row r="14" spans="1:7" x14ac:dyDescent="0.25">
      <c r="A14" s="2">
        <v>13</v>
      </c>
      <c r="B14" s="2">
        <v>20</v>
      </c>
      <c r="C14" s="2">
        <v>9</v>
      </c>
      <c r="D14" s="2">
        <v>6</v>
      </c>
      <c r="E14" s="2">
        <v>4</v>
      </c>
      <c r="F14" s="2">
        <v>5</v>
      </c>
      <c r="G14" s="2">
        <v>5</v>
      </c>
    </row>
    <row r="15" spans="1:7" x14ac:dyDescent="0.25">
      <c r="A15" s="2">
        <v>14</v>
      </c>
      <c r="B15" s="2">
        <v>21</v>
      </c>
      <c r="C15" s="2">
        <v>7</v>
      </c>
      <c r="D15" s="2">
        <v>4</v>
      </c>
      <c r="E15" s="2">
        <v>3</v>
      </c>
      <c r="F15" s="2">
        <v>6</v>
      </c>
      <c r="G15" s="2">
        <v>7</v>
      </c>
    </row>
    <row r="16" spans="1:7" x14ac:dyDescent="0.25">
      <c r="A16" s="2">
        <v>15</v>
      </c>
      <c r="B16" s="2">
        <v>22</v>
      </c>
      <c r="C16" s="2">
        <v>8</v>
      </c>
      <c r="D16" s="2">
        <v>5</v>
      </c>
      <c r="E16" s="2">
        <v>3</v>
      </c>
      <c r="F16" s="2">
        <v>5</v>
      </c>
      <c r="G16" s="2">
        <v>6</v>
      </c>
    </row>
    <row r="18" spans="3:6" x14ac:dyDescent="0.25">
      <c r="C18">
        <f>AVERAGE(Table5[[Daily Screen ]])</f>
        <v>7</v>
      </c>
    </row>
    <row r="19" spans="3:6" x14ac:dyDescent="0.25">
      <c r="D19">
        <f>MODE(Table5[[Daily Screen ]])</f>
        <v>6</v>
      </c>
      <c r="F19">
        <f>CORREL(Table5[Sleep Hours],Table5[[Daily Screen ]])</f>
        <v>-0.94106465164271702</v>
      </c>
    </row>
    <row r="20" spans="3:6" x14ac:dyDescent="0.25">
      <c r="C20">
        <f>MEDIAN(Table5[[Daily Screen ]])</f>
        <v>7</v>
      </c>
      <c r="D20">
        <f>_xlfn.VAR.P(Table5[[Daily Screen ]])</f>
        <v>2.6666666666666665</v>
      </c>
    </row>
    <row r="21" spans="3:6" x14ac:dyDescent="0.25">
      <c r="D21">
        <f>_xlfn.STDEV.P(Table5[[Daily Screen ]])</f>
        <v>1.6329931618554521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Sheet2</vt:lpstr>
      <vt:lpstr>Sheet3</vt:lpstr>
      <vt:lpstr>Sheet1</vt:lpstr>
      <vt:lpstr>Sheet5</vt:lpstr>
      <vt:lpstr>Sheet6</vt:lpstr>
      <vt:lpstr>Problem - 2</vt:lpstr>
      <vt:lpstr>Sheet8</vt:lpstr>
      <vt:lpstr>Sheet9</vt:lpstr>
      <vt:lpstr>Sheet11</vt:lpstr>
      <vt:lpstr>Problem - 3</vt:lpstr>
      <vt:lpstr>Sheet13</vt:lpstr>
      <vt:lpstr>problem - 4</vt:lpstr>
      <vt:lpstr>Sheet15</vt:lpstr>
      <vt:lpstr>Sheet16</vt:lpstr>
      <vt:lpstr>Problem - 5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parchuru</dc:creator>
  <cp:lastModifiedBy>rohith parchuru</cp:lastModifiedBy>
  <dcterms:created xsi:type="dcterms:W3CDTF">2026-05-27T00:37:31Z</dcterms:created>
  <dcterms:modified xsi:type="dcterms:W3CDTF">2026-05-29T00:36:04Z</dcterms:modified>
</cp:coreProperties>
</file>