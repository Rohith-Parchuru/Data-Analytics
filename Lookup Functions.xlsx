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Excel - Data Analytis\"/>
    </mc:Choice>
  </mc:AlternateContent>
  <xr:revisionPtr revIDLastSave="0" documentId="8_{D2A8F204-211D-48BA-9159-32DADC0B3CFA}" xr6:coauthVersionLast="47" xr6:coauthVersionMax="47" xr10:uidLastSave="{00000000-0000-0000-0000-000000000000}"/>
  <bookViews>
    <workbookView xWindow="-120" yWindow="-120" windowWidth="29040" windowHeight="15720" xr2:uid="{BA250E4E-857D-44FF-BFA8-5E9927558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K21" i="1"/>
  <c r="I21" i="1"/>
  <c r="K19" i="1"/>
  <c r="I19" i="1"/>
  <c r="D23" i="1" a="1"/>
  <c r="D23" i="1"/>
  <c r="E20" i="1" a="1"/>
  <c r="E20" i="1" s="1"/>
  <c r="D20" i="1"/>
  <c r="D18" i="1"/>
  <c r="C19" i="1"/>
  <c r="C18" i="1"/>
  <c r="K13" i="1"/>
  <c r="I13" i="1"/>
  <c r="B12" i="1"/>
  <c r="C11" i="1"/>
  <c r="B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<sst xmlns="http://schemas.openxmlformats.org/spreadsheetml/2006/main" count="50" uniqueCount="35">
  <si>
    <t>A</t>
  </si>
  <si>
    <t>B</t>
  </si>
  <si>
    <t>C</t>
  </si>
  <si>
    <t>D - Salary</t>
  </si>
  <si>
    <t>City</t>
  </si>
  <si>
    <t>Rohith</t>
  </si>
  <si>
    <t>Anudeep</t>
  </si>
  <si>
    <t>Ravi</t>
  </si>
  <si>
    <t>Charan</t>
  </si>
  <si>
    <t>Sasi</t>
  </si>
  <si>
    <t>It</t>
  </si>
  <si>
    <t>Hr</t>
  </si>
  <si>
    <t>Finance</t>
  </si>
  <si>
    <t>Banglore</t>
  </si>
  <si>
    <t>Chennai</t>
  </si>
  <si>
    <t>Hyderabad</t>
  </si>
  <si>
    <t>Pune</t>
  </si>
  <si>
    <t>Nasik</t>
  </si>
  <si>
    <t>VLookUp</t>
  </si>
  <si>
    <t>Column1</t>
  </si>
  <si>
    <t>Sum</t>
  </si>
  <si>
    <t>Average</t>
  </si>
  <si>
    <t>Running Total</t>
  </si>
  <si>
    <t>Count</t>
  </si>
  <si>
    <t>ID</t>
  </si>
  <si>
    <t>Name</t>
  </si>
  <si>
    <t>Department</t>
  </si>
  <si>
    <t>Salary</t>
  </si>
  <si>
    <t>101</t>
  </si>
  <si>
    <t>102</t>
  </si>
  <si>
    <t>103</t>
  </si>
  <si>
    <t>104</t>
  </si>
  <si>
    <t>HLookUp</t>
  </si>
  <si>
    <t>Index + Match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</si>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</sst>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129CD-8101-4178-9D2F-43CD92C2F19C}" name="Table1" displayName="Table1" ref="A1:E6" totalsRowShown="0">
  <autoFilter ref="A1:E6" xr:uid="{C1B129CD-8101-4178-9D2F-43CD92C2F19C}"/>
  <tableColumns count="5">
    <tableColumn id="1" xr3:uid="{BCCFC52F-D633-4373-9302-36B3F3176898}" name="A"/>
    <tableColumn id="2" xr3:uid="{A076E1A1-1301-49A9-A9C1-875D236F072C}" name="B"/>
    <tableColumn id="3" xr3:uid="{C6404632-4606-4FE0-BDC1-7A145B23D282}" name="C"/>
    <tableColumn id="4" xr3:uid="{FDD4712A-E985-44C8-AAF0-DD58B338A04E}" name="D - Salary"/>
    <tableColumn id="5" xr3:uid="{311A0A64-64FD-49D7-AB1F-3145E3251A75}" name="Cit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18EBE0-FB0E-4ED8-8D10-77E12FF07E50}" name="Table6" displayName="Table6" ref="I6:M10" totalsRowShown="0" headerRowDxfId="0" dataDxfId="1">
  <autoFilter ref="I6:M10" xr:uid="{5F18EBE0-FB0E-4ED8-8D10-77E12FF07E50}"/>
  <tableColumns count="5">
    <tableColumn id="1" xr3:uid="{F00D1FC3-C072-44FB-96B8-49EE9836B25A}" name="ID" dataDxfId="6"/>
    <tableColumn id="2" xr3:uid="{AC75A1B5-7B9E-445A-87EB-BF6C50EEC494}" name="101" dataDxfId="5"/>
    <tableColumn id="3" xr3:uid="{B02DB710-9D19-4937-92C2-684C5BCD53BB}" name="102" dataDxfId="4"/>
    <tableColumn id="4" xr3:uid="{4D85B994-46D8-4196-9AA2-0C043EF3E897}" name="103" dataDxfId="3"/>
    <tableColumn id="5" xr3:uid="{58A8C661-71F4-476F-AC3F-B0117870CCB5}" name="104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B871-3FA0-406E-A234-F2A4C0CD7678}">
  <dimension ref="A1:M23"/>
  <sheetViews>
    <sheetView tabSelected="1" workbookViewId="0">
      <selection activeCell="M21" sqref="M21"/>
    </sheetView>
  </sheetViews>
  <sheetFormatPr defaultRowHeight="15" x14ac:dyDescent="0.25"/>
  <cols>
    <col min="4" max="4" width="11.28515625" customWidth="1"/>
    <col min="5" max="5" width="10.5703125" bestFit="1" customWidth="1"/>
    <col min="9" max="9" width="10.5703125" bestFit="1" customWidth="1"/>
    <col min="11" max="11" width="22.140625" bestFit="1" customWidth="1"/>
    <col min="12" max="12" width="11.28515625" customWidth="1"/>
    <col min="13" max="13" width="10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25">
      <c r="A2">
        <v>101</v>
      </c>
      <c r="B2" t="s">
        <v>5</v>
      </c>
      <c r="C2" t="s">
        <v>10</v>
      </c>
      <c r="D2">
        <v>60000</v>
      </c>
      <c r="E2" t="s">
        <v>13</v>
      </c>
    </row>
    <row r="3" spans="1:13" x14ac:dyDescent="0.25">
      <c r="A3">
        <v>102</v>
      </c>
      <c r="B3" t="s">
        <v>6</v>
      </c>
      <c r="C3" t="s">
        <v>11</v>
      </c>
      <c r="D3">
        <v>50000</v>
      </c>
      <c r="E3" t="s">
        <v>14</v>
      </c>
      <c r="I3" s="6" t="s">
        <v>32</v>
      </c>
      <c r="J3" s="1"/>
      <c r="K3" s="1"/>
      <c r="L3" s="1"/>
      <c r="M3" s="1"/>
    </row>
    <row r="4" spans="1:13" x14ac:dyDescent="0.25">
      <c r="A4">
        <v>103</v>
      </c>
      <c r="B4" t="s">
        <v>7</v>
      </c>
      <c r="C4" t="s">
        <v>12</v>
      </c>
      <c r="D4">
        <v>55000</v>
      </c>
      <c r="E4" t="s">
        <v>15</v>
      </c>
      <c r="I4" s="1"/>
      <c r="J4" s="1"/>
      <c r="K4" s="1"/>
      <c r="L4" s="1"/>
      <c r="M4" s="1"/>
    </row>
    <row r="5" spans="1:13" x14ac:dyDescent="0.25">
      <c r="A5">
        <v>104</v>
      </c>
      <c r="B5" t="s">
        <v>8</v>
      </c>
      <c r="C5" t="s">
        <v>10</v>
      </c>
      <c r="D5">
        <v>1400000</v>
      </c>
      <c r="E5" t="s">
        <v>16</v>
      </c>
      <c r="I5" s="4"/>
      <c r="J5" s="4"/>
      <c r="K5" s="4"/>
      <c r="L5" s="4"/>
      <c r="M5" s="4"/>
    </row>
    <row r="6" spans="1:13" x14ac:dyDescent="0.25">
      <c r="A6">
        <v>105</v>
      </c>
      <c r="B6" t="s">
        <v>9</v>
      </c>
      <c r="C6" t="s">
        <v>10</v>
      </c>
      <c r="D6">
        <v>7875475</v>
      </c>
      <c r="E6" t="s">
        <v>17</v>
      </c>
      <c r="I6" s="5" t="s">
        <v>24</v>
      </c>
      <c r="J6" s="5" t="s">
        <v>28</v>
      </c>
      <c r="K6" s="5" t="s">
        <v>29</v>
      </c>
      <c r="L6" s="5" t="s">
        <v>30</v>
      </c>
      <c r="M6" s="5" t="s">
        <v>31</v>
      </c>
    </row>
    <row r="7" spans="1:13" x14ac:dyDescent="0.25">
      <c r="I7" s="5" t="s">
        <v>25</v>
      </c>
      <c r="J7" s="5" t="s">
        <v>5</v>
      </c>
      <c r="K7" s="5" t="s">
        <v>6</v>
      </c>
      <c r="L7" s="5" t="s">
        <v>7</v>
      </c>
      <c r="M7" s="5" t="s">
        <v>8</v>
      </c>
    </row>
    <row r="8" spans="1:13" ht="30" x14ac:dyDescent="0.25">
      <c r="A8" s="3" t="s">
        <v>18</v>
      </c>
      <c r="B8" s="2"/>
      <c r="C8" s="2"/>
      <c r="I8" s="5" t="s">
        <v>26</v>
      </c>
      <c r="J8" s="5" t="s">
        <v>10</v>
      </c>
      <c r="K8" s="5" t="s">
        <v>11</v>
      </c>
      <c r="L8" s="5" t="s">
        <v>12</v>
      </c>
      <c r="M8" s="5" t="s">
        <v>10</v>
      </c>
    </row>
    <row r="9" spans="1:13" x14ac:dyDescent="0.25">
      <c r="I9" s="5" t="s">
        <v>27</v>
      </c>
      <c r="J9" s="5">
        <v>60000</v>
      </c>
      <c r="K9" s="5">
        <v>50000</v>
      </c>
      <c r="L9" s="5">
        <v>55000</v>
      </c>
      <c r="M9" s="5">
        <v>1400000</v>
      </c>
    </row>
    <row r="10" spans="1:13" x14ac:dyDescent="0.25">
      <c r="B10" t="str">
        <f>VLOOKUP(A5,Table1[],5,FALSE)</f>
        <v>Pune</v>
      </c>
      <c r="I10" s="5" t="s">
        <v>4</v>
      </c>
      <c r="J10" s="5" t="s">
        <v>13</v>
      </c>
      <c r="K10" s="5" t="s">
        <v>14</v>
      </c>
      <c r="L10" s="5" t="s">
        <v>15</v>
      </c>
      <c r="M10" s="5" t="s">
        <v>16</v>
      </c>
    </row>
    <row r="11" spans="1:13" x14ac:dyDescent="0.25">
      <c r="C11" t="str">
        <f>VLOOKUP(A3,Table1[[A]:[C]],2,FALSE)</f>
        <v>Anudeep</v>
      </c>
    </row>
    <row r="12" spans="1:13" x14ac:dyDescent="0.25">
      <c r="B12" t="str">
        <f>VLOOKUP(B6,Table1[[B]:[City]],4,FALSE)</f>
        <v>Nasik</v>
      </c>
    </row>
    <row r="13" spans="1:13" x14ac:dyDescent="0.25">
      <c r="I13" t="str">
        <f>HLOOKUP(L7,Table6[[103]:[104]],4,FALSE)</f>
        <v>Hyderabad</v>
      </c>
      <c r="K13">
        <f>HLOOKUP(J7,Table6[[101]:[104]],3,FALSE)</f>
        <v>60000</v>
      </c>
    </row>
    <row r="15" spans="1:13" x14ac:dyDescent="0.25">
      <c r="C15" s="6" t="s">
        <v>33</v>
      </c>
      <c r="D15" s="1"/>
      <c r="E15" s="1"/>
      <c r="F15" s="1"/>
    </row>
    <row r="16" spans="1:13" x14ac:dyDescent="0.25">
      <c r="C16" s="1"/>
      <c r="D16" s="1"/>
      <c r="E16" s="1"/>
      <c r="F16" s="1"/>
      <c r="I16" s="7" t="s">
        <v>34</v>
      </c>
      <c r="J16" s="1"/>
      <c r="K16" s="1"/>
      <c r="L16" s="1"/>
    </row>
    <row r="17" spans="3:13" x14ac:dyDescent="0.25">
      <c r="I17" s="1"/>
      <c r="J17" s="1"/>
      <c r="K17" s="1"/>
      <c r="L17" s="1"/>
    </row>
    <row r="18" spans="3:13" x14ac:dyDescent="0.25">
      <c r="C18">
        <f>INDEX(Table1[D - Salary],5)</f>
        <v>7875475</v>
      </c>
      <c r="D18">
        <f>INDEX(Table1[D - Salary],MATCH(D5,Table1[D - Salary],0))</f>
        <v>1400000</v>
      </c>
    </row>
    <row r="19" spans="3:13" x14ac:dyDescent="0.25">
      <c r="C19">
        <f>MATCH(B2,Table1[B],0)</f>
        <v>1</v>
      </c>
      <c r="I19">
        <f>_xlfn.XLOOKUP(A4,Table1[A],Table1[D - Salary])</f>
        <v>55000</v>
      </c>
      <c r="K19" t="str">
        <f>_xlfn.XLOOKUP(C4,Table1[C],Table1[City])</f>
        <v>Hyderabad</v>
      </c>
    </row>
    <row r="20" spans="3:13" x14ac:dyDescent="0.25">
      <c r="D20" t="str">
        <f>INDEX(Table1[City],MATCH(E4,Table1[City],0))</f>
        <v>Hyderabad</v>
      </c>
      <c r="E20" cm="1">
        <f t="array" ref="E20">INDEX(Table1[D - Salary],MATCH(1,(Table1[B]="Rohith")*(Table1[C]="It"),0))</f>
        <v>60000</v>
      </c>
      <c r="M20" t="str">
        <f>_xlfn.XLOOKUP(C6,Table1[C],Table1[B]," ",0,-1)</f>
        <v>Sasi</v>
      </c>
    </row>
    <row r="21" spans="3:13" x14ac:dyDescent="0.25">
      <c r="I21">
        <f>_xlfn.XLOOKUP(B3,Table1[B],Table1[A])</f>
        <v>102</v>
      </c>
      <c r="K21" t="str">
        <f>_xlfn.XLOOKUP(9999,Table1[A],Table1[B],"Employee doesn’t exist")</f>
        <v>Employee doesn’t exist</v>
      </c>
    </row>
    <row r="23" spans="3:13" x14ac:dyDescent="0.25">
      <c r="D23" t="str" cm="1">
        <f t="array" ref="D23">INDEX(Table1[City],MATCH(1,(Table1[B]="Ravi")*(Table1[C]="Finance"),0))</f>
        <v>Hyderabad</v>
      </c>
    </row>
  </sheetData>
  <mergeCells count="4">
    <mergeCell ref="A8:C8"/>
    <mergeCell ref="I3:M4"/>
    <mergeCell ref="C15:F16"/>
    <mergeCell ref="I16:L1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PARCHURU</dc:creator>
  <cp:lastModifiedBy>ROHITH PARCHURU</cp:lastModifiedBy>
  <dcterms:created xsi:type="dcterms:W3CDTF">2026-06-02T04:27:37Z</dcterms:created>
  <dcterms:modified xsi:type="dcterms:W3CDTF">2026-06-02T06:19:52Z</dcterms:modified>
</cp:coreProperties>
</file>